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/Users/aleksejmaksimov/PycharmProjects/PythonProject/"/>
    </mc:Choice>
  </mc:AlternateContent>
  <xr:revisionPtr revIDLastSave="0" documentId="13_ncr:1_{03668DF5-64ED-7740-A3AB-818E5B5739BC}" xr6:coauthVersionLast="47" xr6:coauthVersionMax="47" xr10:uidLastSave="{00000000-0000-0000-0000-000000000000}"/>
  <bookViews>
    <workbookView xWindow="760" yWindow="760" windowWidth="17280" windowHeight="8960" activeTab="2" xr2:uid="{E3FEB386-656A-48FB-AC33-9A4BCA93AAE1}"/>
  </bookViews>
  <sheets>
    <sheet name="Задача №1" sheetId="1" r:id="rId1"/>
    <sheet name="Результат задачи №1" sheetId="2" r:id="rId2"/>
    <sheet name="Док-т задачи №1" sheetId="3" r:id="rId3"/>
    <sheet name="Задача №2" sheetId="4" r:id="rId4"/>
    <sheet name="Док-т задачи №2" sheetId="5" r:id="rId5"/>
    <sheet name="Лист1" sheetId="7" r:id="rId6"/>
  </sheets>
  <definedNames>
    <definedName name="solver_adj" localSheetId="3" hidden="1">'Задача №2'!$D$12:$H$12</definedName>
    <definedName name="solver_cvg" localSheetId="3" hidden="1">0.0001</definedName>
    <definedName name="solver_drv" localSheetId="3" hidden="1">2</definedName>
    <definedName name="solver_eng" localSheetId="3" hidden="1">1</definedName>
    <definedName name="solver_eng" localSheetId="1" hidden="1">1</definedName>
    <definedName name="solver_est" localSheetId="3" hidden="1">1</definedName>
    <definedName name="solver_itr" localSheetId="3" hidden="1">2147483647</definedName>
    <definedName name="solver_lhs1" localSheetId="3" hidden="1">'Задача №2'!$D$12</definedName>
    <definedName name="solver_lhs2" localSheetId="3" hidden="1">'Задача №2'!$D$12:$H$12</definedName>
    <definedName name="solver_lhs3" localSheetId="3" hidden="1">'Задача №2'!$H$12</definedName>
    <definedName name="solver_lhs4" localSheetId="3" hidden="1">'Задача №2'!$J$14</definedName>
    <definedName name="solver_lhs5" localSheetId="3" hidden="1">'Задача №2'!$J$15</definedName>
    <definedName name="solver_lhs6" localSheetId="3" hidden="1">'Задача №2'!$J$16</definedName>
    <definedName name="solver_lhs7" localSheetId="3" hidden="1">'Задача №2'!$J$17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eg" localSheetId="1" hidden="1">1</definedName>
    <definedName name="solver_nod" localSheetId="3" hidden="1">2147483647</definedName>
    <definedName name="solver_num" localSheetId="3" hidden="1">7</definedName>
    <definedName name="solver_num" localSheetId="1" hidden="1">0</definedName>
    <definedName name="solver_nwt" localSheetId="3" hidden="1">1</definedName>
    <definedName name="solver_opt" localSheetId="3" hidden="1">'Задача №2'!$F$24</definedName>
    <definedName name="solver_opt" localSheetId="1" hidden="1">'Результат задачи №1'!$M$13</definedName>
    <definedName name="solver_pre" localSheetId="3" hidden="1">0.000001</definedName>
    <definedName name="solver_rbv" localSheetId="3" hidden="1">2</definedName>
    <definedName name="solver_rel1" localSheetId="3" hidden="1">2</definedName>
    <definedName name="solver_rel2" localSheetId="3" hidden="1">5</definedName>
    <definedName name="solver_rel3" localSheetId="3" hidden="1">2</definedName>
    <definedName name="solver_rel4" localSheetId="3" hidden="1">3</definedName>
    <definedName name="solver_rel5" localSheetId="3" hidden="1">1</definedName>
    <definedName name="solver_rel6" localSheetId="3" hidden="1">1</definedName>
    <definedName name="solver_rel7" localSheetId="3" hidden="1">1</definedName>
    <definedName name="solver_rhs1" localSheetId="3" hidden="1">'Задача №2'!$E$12</definedName>
    <definedName name="solver_rhs2" localSheetId="3" hidden="1">"бинарное"</definedName>
    <definedName name="solver_rhs3" localSheetId="3" hidden="1">'Задача №2'!$O$9</definedName>
    <definedName name="solver_rhs4" localSheetId="3" hidden="1">'Задача №2'!$L$14</definedName>
    <definedName name="solver_rhs5" localSheetId="3" hidden="1">'Задача №2'!$L$15</definedName>
    <definedName name="solver_rhs6" localSheetId="3" hidden="1">'Задача №2'!$L$16</definedName>
    <definedName name="solver_rhs7" localSheetId="3" hidden="1">'Задача №2'!$L$17</definedName>
    <definedName name="solver_rlx" localSheetId="3" hidden="1">2</definedName>
    <definedName name="solver_rsd" localSheetId="3" hidden="1">0</definedName>
    <definedName name="solver_scl" localSheetId="3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typ" localSheetId="1" hidden="1">1</definedName>
    <definedName name="solver_val" localSheetId="3" hidden="1">0</definedName>
    <definedName name="solver_val" localSheetId="1" hidden="1">0</definedName>
    <definedName name="solver_ver" localSheetId="3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L28" i="1"/>
  <c r="C28" i="1"/>
  <c r="C42" i="1"/>
  <c r="E42" i="1"/>
  <c r="D42" i="1"/>
  <c r="B44" i="1"/>
  <c r="B43" i="1"/>
  <c r="M42" i="1"/>
  <c r="L42" i="1"/>
  <c r="C54" i="1"/>
  <c r="D54" i="1"/>
  <c r="E54" i="1"/>
  <c r="F54" i="1"/>
  <c r="G54" i="1"/>
  <c r="H54" i="1"/>
  <c r="I54" i="1"/>
  <c r="J54" i="1"/>
  <c r="K54" i="1"/>
  <c r="B54" i="1"/>
  <c r="M52" i="1"/>
  <c r="L60" i="1"/>
  <c r="L52" i="1"/>
  <c r="C52" i="1"/>
  <c r="D52" i="1"/>
  <c r="E52" i="1"/>
  <c r="F52" i="1"/>
  <c r="G52" i="1"/>
  <c r="H52" i="1"/>
  <c r="I52" i="1"/>
  <c r="J52" i="1"/>
  <c r="K52" i="1"/>
  <c r="B52" i="1"/>
  <c r="B60" i="1"/>
  <c r="B45" i="1"/>
  <c r="C14" i="1"/>
  <c r="D7" i="1"/>
  <c r="D6" i="1"/>
  <c r="E7" i="1" s="1"/>
  <c r="B9" i="1" s="1"/>
  <c r="B29" i="1"/>
  <c r="B17" i="1"/>
  <c r="B15" i="1"/>
  <c r="L14" i="1"/>
  <c r="M14" i="1"/>
  <c r="K25" i="1"/>
  <c r="E11" i="2"/>
  <c r="E9" i="2"/>
  <c r="E8" i="2"/>
  <c r="E7" i="2"/>
  <c r="E4" i="2"/>
  <c r="O9" i="4"/>
  <c r="L14" i="4"/>
  <c r="H15" i="4"/>
  <c r="G15" i="4"/>
  <c r="E15" i="4"/>
  <c r="H17" i="4"/>
  <c r="G17" i="4"/>
  <c r="F17" i="4"/>
  <c r="E17" i="4"/>
  <c r="D17" i="4"/>
  <c r="H16" i="4"/>
  <c r="G16" i="4"/>
  <c r="F16" i="4"/>
  <c r="E16" i="4"/>
  <c r="D16" i="4"/>
  <c r="F15" i="4"/>
  <c r="D15" i="4"/>
  <c r="H14" i="4"/>
  <c r="G14" i="4"/>
  <c r="F14" i="4"/>
  <c r="E14" i="4"/>
  <c r="D14" i="4"/>
  <c r="E12" i="2"/>
  <c r="E6" i="2"/>
  <c r="E10" i="2"/>
  <c r="E5" i="2"/>
  <c r="C16" i="1"/>
  <c r="K51" i="1"/>
  <c r="J51" i="1"/>
  <c r="I51" i="1"/>
  <c r="H51" i="1"/>
  <c r="G51" i="1"/>
  <c r="F51" i="1"/>
  <c r="E51" i="1"/>
  <c r="D51" i="1"/>
  <c r="C51" i="1"/>
  <c r="B51" i="1"/>
  <c r="K50" i="1"/>
  <c r="J50" i="1"/>
  <c r="I50" i="1"/>
  <c r="H50" i="1"/>
  <c r="G50" i="1"/>
  <c r="F50" i="1"/>
  <c r="E50" i="1"/>
  <c r="D50" i="1"/>
  <c r="C50" i="1"/>
  <c r="B50" i="1"/>
  <c r="K49" i="1"/>
  <c r="J49" i="1"/>
  <c r="I49" i="1"/>
  <c r="H49" i="1"/>
  <c r="G49" i="1"/>
  <c r="F49" i="1"/>
  <c r="E49" i="1"/>
  <c r="D49" i="1"/>
  <c r="C49" i="1"/>
  <c r="B49" i="1"/>
  <c r="K48" i="1"/>
  <c r="J48" i="1"/>
  <c r="I48" i="1"/>
  <c r="H48" i="1"/>
  <c r="G48" i="1"/>
  <c r="F48" i="1"/>
  <c r="E48" i="1"/>
  <c r="D48" i="1"/>
  <c r="C48" i="1"/>
  <c r="B48" i="1"/>
  <c r="K47" i="1"/>
  <c r="J47" i="1"/>
  <c r="I47" i="1"/>
  <c r="H47" i="1"/>
  <c r="G47" i="1"/>
  <c r="F47" i="1"/>
  <c r="E47" i="1"/>
  <c r="D47" i="1"/>
  <c r="C47" i="1"/>
  <c r="B47" i="1"/>
  <c r="K46" i="1"/>
  <c r="J46" i="1"/>
  <c r="I46" i="1"/>
  <c r="H46" i="1"/>
  <c r="G46" i="1"/>
  <c r="F46" i="1"/>
  <c r="E46" i="1"/>
  <c r="D46" i="1"/>
  <c r="C46" i="1"/>
  <c r="B46" i="1"/>
  <c r="K45" i="1"/>
  <c r="J45" i="1"/>
  <c r="I45" i="1"/>
  <c r="H45" i="1"/>
  <c r="G45" i="1"/>
  <c r="F45" i="1"/>
  <c r="E45" i="1"/>
  <c r="D45" i="1"/>
  <c r="C45" i="1"/>
  <c r="K44" i="1"/>
  <c r="J44" i="1"/>
  <c r="I44" i="1"/>
  <c r="H44" i="1"/>
  <c r="G44" i="1"/>
  <c r="F44" i="1"/>
  <c r="E44" i="1"/>
  <c r="D44" i="1"/>
  <c r="C44" i="1"/>
  <c r="K43" i="1"/>
  <c r="J43" i="1"/>
  <c r="I43" i="1"/>
  <c r="H43" i="1"/>
  <c r="G43" i="1"/>
  <c r="F43" i="1"/>
  <c r="E43" i="1"/>
  <c r="D43" i="1"/>
  <c r="C43" i="1"/>
  <c r="K42" i="1"/>
  <c r="J42" i="1"/>
  <c r="I42" i="1"/>
  <c r="H42" i="1"/>
  <c r="G42" i="1"/>
  <c r="F42" i="1"/>
  <c r="K37" i="1"/>
  <c r="J37" i="1"/>
  <c r="I37" i="1"/>
  <c r="H37" i="1"/>
  <c r="G37" i="1"/>
  <c r="F37" i="1"/>
  <c r="E37" i="1"/>
  <c r="D37" i="1"/>
  <c r="C37" i="1"/>
  <c r="B37" i="1"/>
  <c r="K36" i="1"/>
  <c r="J36" i="1"/>
  <c r="I36" i="1"/>
  <c r="H36" i="1"/>
  <c r="G36" i="1"/>
  <c r="F36" i="1"/>
  <c r="E36" i="1"/>
  <c r="D36" i="1"/>
  <c r="C36" i="1"/>
  <c r="B36" i="1"/>
  <c r="K35" i="1"/>
  <c r="J35" i="1"/>
  <c r="I35" i="1"/>
  <c r="H35" i="1"/>
  <c r="G35" i="1"/>
  <c r="F35" i="1"/>
  <c r="E35" i="1"/>
  <c r="D35" i="1"/>
  <c r="C35" i="1"/>
  <c r="B35" i="1"/>
  <c r="K34" i="1"/>
  <c r="J34" i="1"/>
  <c r="I34" i="1"/>
  <c r="H34" i="1"/>
  <c r="G34" i="1"/>
  <c r="F34" i="1"/>
  <c r="E34" i="1"/>
  <c r="D34" i="1"/>
  <c r="C34" i="1"/>
  <c r="B34" i="1"/>
  <c r="K33" i="1"/>
  <c r="J33" i="1"/>
  <c r="I33" i="1"/>
  <c r="H33" i="1"/>
  <c r="G33" i="1"/>
  <c r="F33" i="1"/>
  <c r="E33" i="1"/>
  <c r="D33" i="1"/>
  <c r="C33" i="1"/>
  <c r="B33" i="1"/>
  <c r="K32" i="1"/>
  <c r="J32" i="1"/>
  <c r="I32" i="1"/>
  <c r="H32" i="1"/>
  <c r="G32" i="1"/>
  <c r="F32" i="1"/>
  <c r="E32" i="1"/>
  <c r="D32" i="1"/>
  <c r="C32" i="1"/>
  <c r="B32" i="1"/>
  <c r="K31" i="1"/>
  <c r="J31" i="1"/>
  <c r="I31" i="1"/>
  <c r="H31" i="1"/>
  <c r="G31" i="1"/>
  <c r="F31" i="1"/>
  <c r="E31" i="1"/>
  <c r="D31" i="1"/>
  <c r="C31" i="1"/>
  <c r="B31" i="1"/>
  <c r="K30" i="1"/>
  <c r="J30" i="1"/>
  <c r="I30" i="1"/>
  <c r="H30" i="1"/>
  <c r="G30" i="1"/>
  <c r="F30" i="1"/>
  <c r="E30" i="1"/>
  <c r="D30" i="1"/>
  <c r="C30" i="1"/>
  <c r="B30" i="1"/>
  <c r="K29" i="1"/>
  <c r="J29" i="1"/>
  <c r="I29" i="1"/>
  <c r="H29" i="1"/>
  <c r="G29" i="1"/>
  <c r="F29" i="1"/>
  <c r="E29" i="1"/>
  <c r="D29" i="1"/>
  <c r="C29" i="1"/>
  <c r="K28" i="1"/>
  <c r="J28" i="1"/>
  <c r="I28" i="1"/>
  <c r="H28" i="1"/>
  <c r="G28" i="1"/>
  <c r="F28" i="1"/>
  <c r="E28" i="1"/>
  <c r="D28" i="1"/>
  <c r="K23" i="1"/>
  <c r="J23" i="1"/>
  <c r="I23" i="1"/>
  <c r="H23" i="1"/>
  <c r="G23" i="1"/>
  <c r="F23" i="1"/>
  <c r="E23" i="1"/>
  <c r="D23" i="1"/>
  <c r="C23" i="1"/>
  <c r="B23" i="1"/>
  <c r="K22" i="1"/>
  <c r="J22" i="1"/>
  <c r="I22" i="1"/>
  <c r="H22" i="1"/>
  <c r="G22" i="1"/>
  <c r="F22" i="1"/>
  <c r="E22" i="1"/>
  <c r="D22" i="1"/>
  <c r="C22" i="1"/>
  <c r="B22" i="1"/>
  <c r="K21" i="1"/>
  <c r="J21" i="1"/>
  <c r="I21" i="1"/>
  <c r="H21" i="1"/>
  <c r="G21" i="1"/>
  <c r="F21" i="1"/>
  <c r="E21" i="1"/>
  <c r="D21" i="1"/>
  <c r="C21" i="1"/>
  <c r="B21" i="1"/>
  <c r="K20" i="1"/>
  <c r="J20" i="1"/>
  <c r="I20" i="1"/>
  <c r="H20" i="1"/>
  <c r="G20" i="1"/>
  <c r="F20" i="1"/>
  <c r="E20" i="1"/>
  <c r="D20" i="1"/>
  <c r="C20" i="1"/>
  <c r="B20" i="1"/>
  <c r="K19" i="1"/>
  <c r="J19" i="1"/>
  <c r="I19" i="1"/>
  <c r="H19" i="1"/>
  <c r="G19" i="1"/>
  <c r="F19" i="1"/>
  <c r="E19" i="1"/>
  <c r="D19" i="1"/>
  <c r="C19" i="1"/>
  <c r="B19" i="1"/>
  <c r="K18" i="1"/>
  <c r="J18" i="1"/>
  <c r="I18" i="1"/>
  <c r="H18" i="1"/>
  <c r="G18" i="1"/>
  <c r="F18" i="1"/>
  <c r="E18" i="1"/>
  <c r="D18" i="1"/>
  <c r="C18" i="1"/>
  <c r="B18" i="1"/>
  <c r="K17" i="1"/>
  <c r="J17" i="1"/>
  <c r="I17" i="1"/>
  <c r="H17" i="1"/>
  <c r="G17" i="1"/>
  <c r="F17" i="1"/>
  <c r="E17" i="1"/>
  <c r="D17" i="1"/>
  <c r="C17" i="1"/>
  <c r="K16" i="1"/>
  <c r="J16" i="1"/>
  <c r="I16" i="1"/>
  <c r="H16" i="1"/>
  <c r="G16" i="1"/>
  <c r="F16" i="1"/>
  <c r="E16" i="1"/>
  <c r="D16" i="1"/>
  <c r="B16" i="1"/>
  <c r="K15" i="1"/>
  <c r="J15" i="1"/>
  <c r="I15" i="1"/>
  <c r="H15" i="1"/>
  <c r="G15" i="1"/>
  <c r="F15" i="1"/>
  <c r="E15" i="1"/>
  <c r="D15" i="1"/>
  <c r="C15" i="1"/>
  <c r="K14" i="1"/>
  <c r="J14" i="1"/>
  <c r="I14" i="1"/>
  <c r="H14" i="1"/>
  <c r="G14" i="1"/>
  <c r="F14" i="1"/>
  <c r="E14" i="1"/>
  <c r="D14" i="1"/>
  <c r="C6" i="1"/>
  <c r="B6" i="1"/>
  <c r="E4" i="1"/>
  <c r="E3" i="1"/>
  <c r="E2" i="1"/>
  <c r="E5" i="1" s="1"/>
  <c r="F3" i="1" s="1"/>
  <c r="C7" i="1" s="1"/>
  <c r="B61" i="1" l="1"/>
  <c r="J16" i="4"/>
  <c r="D22" i="4" s="1"/>
  <c r="F22" i="4" s="1"/>
  <c r="J14" i="4"/>
  <c r="D20" i="4" s="1"/>
  <c r="F20" i="4" s="1"/>
  <c r="J17" i="4"/>
  <c r="D23" i="4" s="1"/>
  <c r="F23" i="4" s="1"/>
  <c r="J15" i="4"/>
  <c r="D21" i="4" s="1"/>
  <c r="F4" i="1"/>
  <c r="L50" i="1"/>
  <c r="J60" i="1"/>
  <c r="L46" i="1"/>
  <c r="I60" i="1"/>
  <c r="L45" i="1"/>
  <c r="D60" i="1"/>
  <c r="F60" i="1"/>
  <c r="E60" i="1"/>
  <c r="G60" i="1"/>
  <c r="H60" i="1"/>
  <c r="L49" i="1"/>
  <c r="L43" i="1"/>
  <c r="L51" i="1"/>
  <c r="L47" i="1"/>
  <c r="K60" i="1"/>
  <c r="L48" i="1"/>
  <c r="L32" i="1"/>
  <c r="J38" i="1"/>
  <c r="K38" i="1"/>
  <c r="L33" i="1"/>
  <c r="L36" i="1"/>
  <c r="F38" i="1"/>
  <c r="D38" i="1"/>
  <c r="E38" i="1"/>
  <c r="L34" i="1"/>
  <c r="L31" i="1"/>
  <c r="G38" i="1"/>
  <c r="H38" i="1"/>
  <c r="B38" i="1"/>
  <c r="L29" i="1"/>
  <c r="I38" i="1"/>
  <c r="L37" i="1"/>
  <c r="L35" i="1"/>
  <c r="H24" i="1"/>
  <c r="L18" i="1"/>
  <c r="L23" i="1"/>
  <c r="L19" i="1"/>
  <c r="D24" i="1"/>
  <c r="L15" i="1"/>
  <c r="L22" i="1"/>
  <c r="F24" i="1"/>
  <c r="L16" i="1"/>
  <c r="G24" i="1"/>
  <c r="L20" i="1"/>
  <c r="I24" i="1"/>
  <c r="J24" i="1"/>
  <c r="K24" i="1"/>
  <c r="L21" i="1"/>
  <c r="L17" i="1"/>
  <c r="L44" i="1"/>
  <c r="L30" i="1"/>
  <c r="E24" i="1"/>
  <c r="F2" i="1"/>
  <c r="B7" i="1" s="1"/>
  <c r="B10" i="1" s="1"/>
  <c r="C60" i="1"/>
  <c r="C38" i="1"/>
  <c r="B24" i="1"/>
  <c r="C24" i="1"/>
  <c r="F21" i="4" l="1"/>
  <c r="F24" i="4" s="1"/>
  <c r="M48" i="1"/>
  <c r="H61" i="1" s="1"/>
  <c r="L38" i="1"/>
  <c r="M37" i="1" s="1"/>
  <c r="K39" i="1" s="1"/>
  <c r="L24" i="1"/>
  <c r="M18" i="1" s="1"/>
  <c r="F25" i="1" s="1"/>
  <c r="M19" i="1"/>
  <c r="G25" i="1" s="1"/>
  <c r="M46" i="1" l="1"/>
  <c r="F61" i="1" s="1"/>
  <c r="M45" i="1"/>
  <c r="E61" i="1" s="1"/>
  <c r="M47" i="1"/>
  <c r="G61" i="1" s="1"/>
  <c r="M44" i="1"/>
  <c r="D61" i="1" s="1"/>
  <c r="M43" i="1"/>
  <c r="C61" i="1" s="1"/>
  <c r="M51" i="1"/>
  <c r="K61" i="1" s="1"/>
  <c r="M49" i="1"/>
  <c r="I61" i="1" s="1"/>
  <c r="M50" i="1"/>
  <c r="J61" i="1" s="1"/>
  <c r="M34" i="1"/>
  <c r="H39" i="1" s="1"/>
  <c r="M36" i="1"/>
  <c r="J39" i="1" s="1"/>
  <c r="M32" i="1"/>
  <c r="F39" i="1" s="1"/>
  <c r="M30" i="1"/>
  <c r="D39" i="1" s="1"/>
  <c r="M33" i="1"/>
  <c r="G39" i="1" s="1"/>
  <c r="M28" i="1"/>
  <c r="B39" i="1" s="1"/>
  <c r="M35" i="1"/>
  <c r="I39" i="1" s="1"/>
  <c r="M31" i="1"/>
  <c r="E39" i="1" s="1"/>
  <c r="M29" i="1"/>
  <c r="C39" i="1" s="1"/>
  <c r="B25" i="1"/>
  <c r="M16" i="1"/>
  <c r="D25" i="1" s="1"/>
  <c r="M22" i="1"/>
  <c r="J25" i="1" s="1"/>
  <c r="M15" i="1"/>
  <c r="C25" i="1" s="1"/>
  <c r="M21" i="1"/>
  <c r="I25" i="1" s="1"/>
  <c r="M17" i="1"/>
  <c r="E25" i="1" s="1"/>
  <c r="M20" i="1"/>
  <c r="H25" i="1" s="1"/>
  <c r="M23" i="1"/>
  <c r="L61" i="1" l="1"/>
  <c r="B62" i="1" s="1"/>
  <c r="L39" i="1"/>
  <c r="L25" i="1"/>
  <c r="B26" i="1" s="1"/>
</calcChain>
</file>

<file path=xl/sharedStrings.xml><?xml version="1.0" encoding="utf-8"?>
<sst xmlns="http://schemas.openxmlformats.org/spreadsheetml/2006/main" count="269" uniqueCount="96">
  <si>
    <t>Выручка</t>
  </si>
  <si>
    <t>Обеспеченность кадрами</t>
  </si>
  <si>
    <t>Срок</t>
  </si>
  <si>
    <t>Оценки компонент собственного вектора</t>
  </si>
  <si>
    <t>Нормализованные оценки вектора приоритета</t>
  </si>
  <si>
    <t>Сумма</t>
  </si>
  <si>
    <t>Сумма по столбцам</t>
  </si>
  <si>
    <t>Произведение суммы по столбцам и нормализованной оценки вектора приоритета</t>
  </si>
  <si>
    <t>Ис</t>
  </si>
  <si>
    <t>Ос</t>
  </si>
  <si>
    <t>Критерии (Выручка)</t>
  </si>
  <si>
    <t>Проектирование загородного коттеджа</t>
  </si>
  <si>
    <t>Разработка проекта офисного здания</t>
  </si>
  <si>
    <t>Разработка проекта строительного магазина</t>
  </si>
  <si>
    <t>Разработка дизайна административного здания</t>
  </si>
  <si>
    <t>Проектирование дачного комплекса</t>
  </si>
  <si>
    <t>Разработка проекта медицинского центра</t>
  </si>
  <si>
    <t>Проектирование спортивного комплекса</t>
  </si>
  <si>
    <t>Разработка проекта учебного учреждения</t>
  </si>
  <si>
    <t>Проектирование гостиничного комплекса</t>
  </si>
  <si>
    <t>СУММА</t>
  </si>
  <si>
    <t>ИС</t>
  </si>
  <si>
    <t>ОС</t>
  </si>
  <si>
    <t>Критерии (Обеспеченность кадрами)</t>
  </si>
  <si>
    <t>Критерии (Срок)</t>
  </si>
  <si>
    <r>
      <t>П</t>
    </r>
    <r>
      <rPr>
        <sz val="12"/>
        <color theme="1"/>
        <rFont val="Times New Roman"/>
        <family val="1"/>
        <charset val="204"/>
      </rPr>
      <t>роектирование кафе</t>
    </r>
  </si>
  <si>
    <t>Строительство жилого комплекса из трех высотных зданий</t>
  </si>
  <si>
    <t>Возведение бизнес-центра</t>
  </si>
  <si>
    <t>Строительство гостиницы</t>
  </si>
  <si>
    <t>Строительство многофункционального комплекса</t>
  </si>
  <si>
    <t>Реконструкция и надстройка административного здания</t>
  </si>
  <si>
    <t>Строительство высотного жилого здания с подземной парковкой</t>
  </si>
  <si>
    <t>Возведение медицинского центра</t>
  </si>
  <si>
    <t>Строительство жилого комплекса на 35 этажей</t>
  </si>
  <si>
    <t>Строительство многофункционального спортивного комплекса</t>
  </si>
  <si>
    <t>Возведение высотного учебного заведения</t>
  </si>
  <si>
    <t xml:space="preserve">Критерии </t>
  </si>
  <si>
    <t>Глобальные приоритеты</t>
  </si>
  <si>
    <t>Из матрицы</t>
  </si>
  <si>
    <t>№</t>
  </si>
  <si>
    <t>Проект</t>
  </si>
  <si>
    <t>Глобальный приоритет</t>
  </si>
  <si>
    <t>Критерии</t>
  </si>
  <si>
    <t>(подпись)</t>
  </si>
  <si>
    <t>(Фамилия, инициалы)</t>
  </si>
  <si>
    <t>Показатели качества</t>
  </si>
  <si>
    <t>Выручка, руб.</t>
  </si>
  <si>
    <t>Обеспеченность кадрами, чел.</t>
  </si>
  <si>
    <t>Срок, к.д.</t>
  </si>
  <si>
    <t>Баринов А.Д.</t>
  </si>
  <si>
    <t>ГК "ОСТОВ"</t>
  </si>
  <si>
    <t>Величина</t>
  </si>
  <si>
    <t>Веса</t>
  </si>
  <si>
    <t>Прибыль, руб.</t>
  </si>
  <si>
    <t>Бюджет, руб.</t>
  </si>
  <si>
    <t>Человеческие ресурсы</t>
  </si>
  <si>
    <t>Риски</t>
  </si>
  <si>
    <t>Уровень срочности</t>
  </si>
  <si>
    <t>=</t>
  </si>
  <si>
    <t>&gt;=</t>
  </si>
  <si>
    <t>&lt;=</t>
  </si>
  <si>
    <t>Отклонения</t>
  </si>
  <si>
    <t>Vp(j)</t>
  </si>
  <si>
    <t>Сотрудник отдела по закупкам и снабжению</t>
  </si>
  <si>
    <t>Цель</t>
  </si>
  <si>
    <r>
      <t>x</t>
    </r>
    <r>
      <rPr>
        <vertAlign val="subscript"/>
        <sz val="14"/>
        <color theme="1"/>
        <rFont val="Times New Roman"/>
        <family val="1"/>
        <charset val="204"/>
      </rPr>
      <t>i</t>
    </r>
  </si>
  <si>
    <t>Цел. функция</t>
  </si>
  <si>
    <t>Человеческие ресурсы, чел.-ч</t>
  </si>
  <si>
    <t>Бюджет, руб</t>
  </si>
  <si>
    <t>Прибыль, руб</t>
  </si>
  <si>
    <t>Cписок заказов</t>
  </si>
  <si>
    <t>Заказы</t>
  </si>
  <si>
    <r>
      <t>х</t>
    </r>
    <r>
      <rPr>
        <sz val="11"/>
        <color rgb="FF000000"/>
        <rFont val="Times New Roman"/>
        <family val="1"/>
        <charset val="204"/>
      </rPr>
      <t>1</t>
    </r>
  </si>
  <si>
    <r>
      <t>х</t>
    </r>
    <r>
      <rPr>
        <sz val="11"/>
        <color rgb="FF000000"/>
        <rFont val="Times New Roman"/>
        <family val="1"/>
        <charset val="204"/>
      </rPr>
      <t>2</t>
    </r>
  </si>
  <si>
    <r>
      <t>х</t>
    </r>
    <r>
      <rPr>
        <sz val="11"/>
        <color rgb="FF000000"/>
        <rFont val="Times New Roman"/>
        <family val="1"/>
        <charset val="204"/>
      </rPr>
      <t>3</t>
    </r>
  </si>
  <si>
    <r>
      <t>х</t>
    </r>
    <r>
      <rPr>
        <sz val="11"/>
        <color rgb="FF000000"/>
        <rFont val="Times New Roman"/>
        <family val="1"/>
        <charset val="204"/>
      </rPr>
      <t>4</t>
    </r>
  </si>
  <si>
    <r>
      <t>х</t>
    </r>
    <r>
      <rPr>
        <sz val="11"/>
        <color rgb="FF000000"/>
        <rFont val="Times New Roman"/>
        <family val="1"/>
        <charset val="204"/>
      </rPr>
      <t>5</t>
    </r>
  </si>
  <si>
    <r>
      <t>х</t>
    </r>
    <r>
      <rPr>
        <sz val="11"/>
        <color rgb="FF000000"/>
        <rFont val="Times New Roman"/>
        <family val="1"/>
        <charset val="204"/>
      </rPr>
      <t>6</t>
    </r>
  </si>
  <si>
    <r>
      <t>х</t>
    </r>
    <r>
      <rPr>
        <sz val="11"/>
        <color rgb="FF000000"/>
        <rFont val="Times New Roman"/>
        <family val="1"/>
        <charset val="204"/>
      </rPr>
      <t>7</t>
    </r>
  </si>
  <si>
    <r>
      <t>х</t>
    </r>
    <r>
      <rPr>
        <sz val="11"/>
        <color rgb="FF000000"/>
        <rFont val="Times New Roman"/>
        <family val="1"/>
        <charset val="204"/>
      </rPr>
      <t>8</t>
    </r>
  </si>
  <si>
    <r>
      <t>х</t>
    </r>
    <r>
      <rPr>
        <sz val="11"/>
        <color rgb="FF000000"/>
        <rFont val="Times New Roman"/>
        <family val="1"/>
        <charset val="204"/>
      </rPr>
      <t>9</t>
    </r>
  </si>
  <si>
    <r>
      <t>х</t>
    </r>
    <r>
      <rPr>
        <sz val="11"/>
        <color rgb="FF000000"/>
        <rFont val="Times New Roman"/>
        <family val="1"/>
        <charset val="204"/>
      </rPr>
      <t>10</t>
    </r>
  </si>
  <si>
    <r>
      <t>х</t>
    </r>
    <r>
      <rPr>
        <sz val="11"/>
        <color rgb="FF000000"/>
        <rFont val="Times New Roman"/>
        <family val="1"/>
        <charset val="204"/>
      </rPr>
      <t>11</t>
    </r>
  </si>
  <si>
    <r>
      <t>х</t>
    </r>
    <r>
      <rPr>
        <sz val="11"/>
        <color rgb="FF000000"/>
        <rFont val="Times New Roman"/>
        <family val="1"/>
        <charset val="204"/>
      </rPr>
      <t>12</t>
    </r>
  </si>
  <si>
    <t>Список заказов</t>
  </si>
  <si>
    <t>Максимов А.М.</t>
  </si>
  <si>
    <t>Строительство скоростной трассы для многофункционального комплекса</t>
  </si>
  <si>
    <t>Строительство трассы у жилого комплекса из трех высотных зданий</t>
  </si>
  <si>
    <t>Строительство нетипового выезда из жилого квартала</t>
  </si>
  <si>
    <t>Строительство частной дороги для гостиницы</t>
  </si>
  <si>
    <t>Строительство дороги у многофункционального спортивного комплекса</t>
  </si>
  <si>
    <t>Возведение магистрали около бизнес-центра</t>
  </si>
  <si>
    <t xml:space="preserve">Строительство шестиполосного шоссе Москва-Щелково </t>
  </si>
  <si>
    <t>Строительство парковки для учебного заведения</t>
  </si>
  <si>
    <t>Строительство скоростного выезда для медицинского центра</t>
  </si>
  <si>
    <t>Возведение скоростной магистрали у административного здания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</si>
</sst>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164" fontId="2" fillId="0" borderId="1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5" fillId="0" borderId="9" xfId="0" applyFont="1" applyBorder="1"/>
    <xf numFmtId="0" fontId="5" fillId="0" borderId="0" xfId="0" applyFont="1"/>
    <xf numFmtId="0" fontId="6" fillId="0" borderId="0" xfId="0" applyFont="1" applyAlignment="1">
      <alignment horizontal="center"/>
    </xf>
    <xf numFmtId="9" fontId="4" fillId="0" borderId="1" xfId="0" applyNumberFormat="1" applyFont="1" applyBorder="1" applyAlignment="1">
      <alignment horizontal="center" vertical="center" wrapText="1"/>
    </xf>
    <xf numFmtId="9" fontId="4" fillId="0" borderId="13" xfId="0" applyNumberFormat="1" applyFont="1" applyBorder="1" applyAlignment="1">
      <alignment horizontal="center" vertical="center" wrapText="1"/>
    </xf>
    <xf numFmtId="0" fontId="5" fillId="0" borderId="1" xfId="0" applyFont="1" applyBorder="1"/>
    <xf numFmtId="0" fontId="5" fillId="3" borderId="1" xfId="0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3" fontId="2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2" fontId="0" fillId="0" borderId="0" xfId="0" applyNumberFormat="1"/>
    <xf numFmtId="2" fontId="10" fillId="0" borderId="5" xfId="0" applyNumberFormat="1" applyFont="1" applyBorder="1" applyAlignment="1">
      <alignment horizontal="right" vertical="center"/>
    </xf>
    <xf numFmtId="1" fontId="10" fillId="0" borderId="5" xfId="0" applyNumberFormat="1" applyFont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2" fontId="3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C899-3725-44E3-A846-535E34E818E7}">
  <sheetPr codeName="Лист1"/>
  <dimension ref="A1:P62"/>
  <sheetViews>
    <sheetView topLeftCell="A25" zoomScale="60" zoomScaleNormal="60" workbookViewId="0">
      <selection activeCell="L28" sqref="L28"/>
    </sheetView>
  </sheetViews>
  <sheetFormatPr baseColWidth="10" defaultColWidth="15.5" defaultRowHeight="15.5" customHeight="1" x14ac:dyDescent="0.2"/>
  <cols>
    <col min="1" max="1" width="27.1640625" style="2" customWidth="1"/>
    <col min="2" max="2" width="22.5" style="2" customWidth="1"/>
    <col min="3" max="13" width="20.5" style="2" customWidth="1"/>
    <col min="14" max="16384" width="15.5" style="2"/>
  </cols>
  <sheetData>
    <row r="1" spans="1:16" ht="46.75" customHeight="1" x14ac:dyDescent="0.2">
      <c r="A1" s="17" t="s">
        <v>42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.5" customHeight="1" x14ac:dyDescent="0.2">
      <c r="A2" s="17" t="s">
        <v>0</v>
      </c>
      <c r="B2" s="3">
        <v>1</v>
      </c>
      <c r="C2" s="3">
        <v>4</v>
      </c>
      <c r="D2" s="15">
        <v>2</v>
      </c>
      <c r="E2" s="3">
        <f>(B2*C2*D2)^(1/3)</f>
        <v>1.9999999999999998</v>
      </c>
      <c r="F2" s="20">
        <f>E2/$E$5</f>
        <v>0.54693056493627257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2">
      <c r="A3" s="17" t="s">
        <v>1</v>
      </c>
      <c r="B3" s="3">
        <v>0.25</v>
      </c>
      <c r="C3" s="3">
        <v>1</v>
      </c>
      <c r="D3" s="3">
        <v>0.25</v>
      </c>
      <c r="E3" s="3">
        <f>(B3*C3*D3)^(1/3)</f>
        <v>0.3968502629920499</v>
      </c>
      <c r="F3" s="20">
        <f>E3/$E$5</f>
        <v>0.10852476926667511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.5" customHeight="1" x14ac:dyDescent="0.2">
      <c r="A4" s="17" t="s">
        <v>2</v>
      </c>
      <c r="B4" s="3">
        <v>0.5</v>
      </c>
      <c r="C4" s="3">
        <v>4</v>
      </c>
      <c r="D4" s="3">
        <v>1</v>
      </c>
      <c r="E4" s="3">
        <f>(B4*C4*D4)^(1/3)</f>
        <v>1.2599210498948732</v>
      </c>
      <c r="F4" s="20">
        <f>E4/$E$5</f>
        <v>0.3445446657970524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5" customHeight="1" x14ac:dyDescent="0.2">
      <c r="A5" s="1"/>
      <c r="B5" s="1"/>
      <c r="C5" s="1"/>
      <c r="D5" s="16" t="s">
        <v>5</v>
      </c>
      <c r="E5" s="16">
        <f>SUM(E2:E4)</f>
        <v>3.6567713128869226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1.75" customHeight="1" x14ac:dyDescent="0.2">
      <c r="A6" s="17" t="s">
        <v>6</v>
      </c>
      <c r="B6" s="20">
        <f>SUM(B2:B4)</f>
        <v>1.75</v>
      </c>
      <c r="C6" s="20">
        <f>SUM(C2:C4)</f>
        <v>9</v>
      </c>
      <c r="D6" s="48">
        <f>SUM(D2:D4)</f>
        <v>3.25</v>
      </c>
      <c r="E6" s="20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61.25" customHeight="1" x14ac:dyDescent="0.2">
      <c r="A7" s="17" t="s">
        <v>7</v>
      </c>
      <c r="B7" s="20">
        <f>B6*F2</f>
        <v>0.95712848863847699</v>
      </c>
      <c r="C7" s="20">
        <f>C6*F3</f>
        <v>0.97672292340007594</v>
      </c>
      <c r="D7" s="20">
        <f>D6*F4</f>
        <v>1.1197701638404203</v>
      </c>
      <c r="E7" s="20">
        <f>SUM(B7:D7)</f>
        <v>3.0536215758789731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5" customHeight="1" x14ac:dyDescent="0.2">
      <c r="A9" s="3" t="s">
        <v>8</v>
      </c>
      <c r="B9" s="3">
        <f>(E7-3)/(3-1)</f>
        <v>2.6810787939486547E-2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5.5" customHeight="1" x14ac:dyDescent="0.2">
      <c r="A10" s="3" t="s">
        <v>9</v>
      </c>
      <c r="B10" s="3">
        <f>B9/1.24</f>
        <v>2.1621603177005278E-2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45.5" customHeight="1" thickBot="1" x14ac:dyDescent="0.25">
      <c r="A13" s="17" t="s">
        <v>10</v>
      </c>
      <c r="B13" s="18" t="s">
        <v>26</v>
      </c>
      <c r="C13" s="18" t="s">
        <v>27</v>
      </c>
      <c r="D13" s="18" t="s">
        <v>28</v>
      </c>
      <c r="E13" s="18" t="s">
        <v>29</v>
      </c>
      <c r="F13" s="18" t="s">
        <v>30</v>
      </c>
      <c r="G13" s="18" t="s">
        <v>31</v>
      </c>
      <c r="H13" s="18" t="s">
        <v>32</v>
      </c>
      <c r="I13" s="18" t="s">
        <v>33</v>
      </c>
      <c r="J13" s="18" t="s">
        <v>34</v>
      </c>
      <c r="K13" s="18" t="s">
        <v>35</v>
      </c>
      <c r="L13" s="17" t="s">
        <v>3</v>
      </c>
      <c r="M13" s="17" t="s">
        <v>4</v>
      </c>
      <c r="N13" s="1"/>
      <c r="O13" s="1"/>
      <c r="P13" s="1"/>
    </row>
    <row r="14" spans="1:16" ht="45.5" customHeight="1" thickBot="1" x14ac:dyDescent="0.25">
      <c r="A14" s="18" t="s">
        <v>26</v>
      </c>
      <c r="B14" s="3">
        <v>1</v>
      </c>
      <c r="C14" s="3">
        <f>P14/$P$15</f>
        <v>1.4285714285714286</v>
      </c>
      <c r="D14" s="3">
        <f>P14/$P$16</f>
        <v>1.25</v>
      </c>
      <c r="E14" s="3">
        <f>P14/$P$17</f>
        <v>0.83333333333333337</v>
      </c>
      <c r="F14" s="3">
        <f>P14/$P$18</f>
        <v>2</v>
      </c>
      <c r="G14" s="3">
        <f>P14/$P$19</f>
        <v>1.6666666666666667</v>
      </c>
      <c r="H14" s="3">
        <f>P14/$P$20</f>
        <v>1.8518518518518519</v>
      </c>
      <c r="I14" s="3">
        <f>P14/$P$21</f>
        <v>1.1111111111111112</v>
      </c>
      <c r="J14" s="3">
        <f>P14/$P$22</f>
        <v>1.3157894736842106</v>
      </c>
      <c r="K14" s="3">
        <f>P14/$P$23</f>
        <v>1.5625</v>
      </c>
      <c r="L14" s="3">
        <f>(B14*C14*D14*E14*F14*G14*H14*I14*J14*K14)^0.1</f>
        <v>1.3557760684497997</v>
      </c>
      <c r="M14" s="20">
        <f>L14/$L$24</f>
        <v>0.13089005235602094</v>
      </c>
      <c r="N14" s="1"/>
      <c r="O14" s="5" t="s">
        <v>11</v>
      </c>
      <c r="P14" s="6">
        <v>500000000</v>
      </c>
    </row>
    <row r="15" spans="1:16" ht="45.5" customHeight="1" thickBot="1" x14ac:dyDescent="0.25">
      <c r="A15" s="18" t="s">
        <v>27</v>
      </c>
      <c r="B15" s="3">
        <f>P15/$P$14</f>
        <v>0.7</v>
      </c>
      <c r="C15" s="3">
        <f t="shared" ref="C15:C23" si="0">P15/$P$15</f>
        <v>1</v>
      </c>
      <c r="D15" s="3">
        <f t="shared" ref="D15:D23" si="1">P15/$P$16</f>
        <v>0.875</v>
      </c>
      <c r="E15" s="3">
        <f t="shared" ref="E15:E23" si="2">P15/$P$17</f>
        <v>0.58333333333333337</v>
      </c>
      <c r="F15" s="3">
        <f t="shared" ref="F15:F23" si="3">P15/$P$18</f>
        <v>1.4</v>
      </c>
      <c r="G15" s="3">
        <f t="shared" ref="G15:G23" si="4">P15/$P$19</f>
        <v>1.1666666666666667</v>
      </c>
      <c r="H15" s="3">
        <f t="shared" ref="H15:H23" si="5">P15/$P$20</f>
        <v>1.2962962962962963</v>
      </c>
      <c r="I15" s="3">
        <f t="shared" ref="I15:I23" si="6">P15/$P$21</f>
        <v>0.77777777777777779</v>
      </c>
      <c r="J15" s="3">
        <f t="shared" ref="J15:J23" si="7">P15/$P$22</f>
        <v>0.92105263157894735</v>
      </c>
      <c r="K15" s="3">
        <f t="shared" ref="K15:K23" si="8">P15/$P$23</f>
        <v>1.09375</v>
      </c>
      <c r="L15" s="3">
        <f t="shared" ref="L15:L23" si="9">(B15*C15*D15*E15*F15*G15*H15*I15*J15*K15)^0.1</f>
        <v>0.94904324791485983</v>
      </c>
      <c r="M15" s="20">
        <f t="shared" ref="M15:M23" si="10">L15/$L$24</f>
        <v>9.1623036649214659E-2</v>
      </c>
      <c r="N15" s="1"/>
      <c r="O15" s="7" t="s">
        <v>12</v>
      </c>
      <c r="P15" s="8">
        <v>350000000</v>
      </c>
    </row>
    <row r="16" spans="1:16" ht="45.5" customHeight="1" thickBot="1" x14ac:dyDescent="0.25">
      <c r="A16" s="18" t="s">
        <v>28</v>
      </c>
      <c r="B16" s="3">
        <f t="shared" ref="B16:B23" si="11">P16/$P$14</f>
        <v>0.8</v>
      </c>
      <c r="C16" s="3">
        <f>P16/$P$15</f>
        <v>1.1428571428571428</v>
      </c>
      <c r="D16" s="3">
        <f t="shared" si="1"/>
        <v>1</v>
      </c>
      <c r="E16" s="3">
        <f t="shared" si="2"/>
        <v>0.66666666666666663</v>
      </c>
      <c r="F16" s="3">
        <f t="shared" si="3"/>
        <v>1.6</v>
      </c>
      <c r="G16" s="3">
        <f t="shared" si="4"/>
        <v>1.3333333333333333</v>
      </c>
      <c r="H16" s="3">
        <f t="shared" si="5"/>
        <v>1.4814814814814814</v>
      </c>
      <c r="I16" s="3">
        <f t="shared" si="6"/>
        <v>0.88888888888888884</v>
      </c>
      <c r="J16" s="3">
        <f t="shared" si="7"/>
        <v>1.0526315789473684</v>
      </c>
      <c r="K16" s="3">
        <f t="shared" si="8"/>
        <v>1.25</v>
      </c>
      <c r="L16" s="3">
        <f t="shared" si="9"/>
        <v>1.0846208547598397</v>
      </c>
      <c r="M16" s="20">
        <f t="shared" si="10"/>
        <v>0.10471204188481675</v>
      </c>
      <c r="N16" s="1"/>
      <c r="O16" s="7" t="s">
        <v>25</v>
      </c>
      <c r="P16" s="8">
        <v>400000000</v>
      </c>
    </row>
    <row r="17" spans="1:16" ht="45.5" customHeight="1" thickBot="1" x14ac:dyDescent="0.25">
      <c r="A17" s="18" t="s">
        <v>29</v>
      </c>
      <c r="B17" s="3">
        <f>P17/$P$14</f>
        <v>1.2</v>
      </c>
      <c r="C17" s="3">
        <f t="shared" si="0"/>
        <v>1.7142857142857142</v>
      </c>
      <c r="D17" s="3">
        <f t="shared" si="1"/>
        <v>1.5</v>
      </c>
      <c r="E17" s="3">
        <f t="shared" si="2"/>
        <v>1</v>
      </c>
      <c r="F17" s="3">
        <f t="shared" si="3"/>
        <v>2.4</v>
      </c>
      <c r="G17" s="3">
        <f t="shared" si="4"/>
        <v>2</v>
      </c>
      <c r="H17" s="3">
        <f t="shared" si="5"/>
        <v>2.2222222222222223</v>
      </c>
      <c r="I17" s="3">
        <f t="shared" si="6"/>
        <v>1.3333333333333333</v>
      </c>
      <c r="J17" s="3">
        <f t="shared" si="7"/>
        <v>1.5789473684210527</v>
      </c>
      <c r="K17" s="3">
        <f t="shared" si="8"/>
        <v>1.875</v>
      </c>
      <c r="L17" s="3">
        <f t="shared" si="9"/>
        <v>1.6269312821397597</v>
      </c>
      <c r="M17" s="20">
        <f t="shared" si="10"/>
        <v>0.15706806282722513</v>
      </c>
      <c r="N17" s="1"/>
      <c r="O17" s="7" t="s">
        <v>13</v>
      </c>
      <c r="P17" s="8">
        <v>600000000</v>
      </c>
    </row>
    <row r="18" spans="1:16" ht="45.5" customHeight="1" thickBot="1" x14ac:dyDescent="0.25">
      <c r="A18" s="18" t="s">
        <v>30</v>
      </c>
      <c r="B18" s="3">
        <f t="shared" si="11"/>
        <v>0.5</v>
      </c>
      <c r="C18" s="3">
        <f t="shared" si="0"/>
        <v>0.7142857142857143</v>
      </c>
      <c r="D18" s="3">
        <f t="shared" si="1"/>
        <v>0.625</v>
      </c>
      <c r="E18" s="3">
        <f t="shared" si="2"/>
        <v>0.41666666666666669</v>
      </c>
      <c r="F18" s="3">
        <f t="shared" si="3"/>
        <v>1</v>
      </c>
      <c r="G18" s="3">
        <f t="shared" si="4"/>
        <v>0.83333333333333337</v>
      </c>
      <c r="H18" s="3">
        <f t="shared" si="5"/>
        <v>0.92592592592592593</v>
      </c>
      <c r="I18" s="3">
        <f t="shared" si="6"/>
        <v>0.55555555555555558</v>
      </c>
      <c r="J18" s="3">
        <f t="shared" si="7"/>
        <v>0.65789473684210531</v>
      </c>
      <c r="K18" s="3">
        <f t="shared" si="8"/>
        <v>0.78125</v>
      </c>
      <c r="L18" s="3">
        <f t="shared" si="9"/>
        <v>0.67788803422489985</v>
      </c>
      <c r="M18" s="20">
        <f t="shared" si="10"/>
        <v>6.5445026178010471E-2</v>
      </c>
      <c r="N18" s="1"/>
      <c r="O18" s="7" t="s">
        <v>14</v>
      </c>
      <c r="P18" s="8">
        <v>250000000</v>
      </c>
    </row>
    <row r="19" spans="1:16" ht="45.5" customHeight="1" thickBot="1" x14ac:dyDescent="0.25">
      <c r="A19" s="18" t="s">
        <v>31</v>
      </c>
      <c r="B19" s="3">
        <f t="shared" si="11"/>
        <v>0.6</v>
      </c>
      <c r="C19" s="3">
        <f t="shared" si="0"/>
        <v>0.8571428571428571</v>
      </c>
      <c r="D19" s="3">
        <f t="shared" si="1"/>
        <v>0.75</v>
      </c>
      <c r="E19" s="3">
        <f t="shared" si="2"/>
        <v>0.5</v>
      </c>
      <c r="F19" s="3">
        <f t="shared" si="3"/>
        <v>1.2</v>
      </c>
      <c r="G19" s="3">
        <f t="shared" si="4"/>
        <v>1</v>
      </c>
      <c r="H19" s="3">
        <f t="shared" si="5"/>
        <v>1.1111111111111112</v>
      </c>
      <c r="I19" s="3">
        <f t="shared" si="6"/>
        <v>0.66666666666666663</v>
      </c>
      <c r="J19" s="3">
        <f t="shared" si="7"/>
        <v>0.78947368421052633</v>
      </c>
      <c r="K19" s="3">
        <f t="shared" si="8"/>
        <v>0.9375</v>
      </c>
      <c r="L19" s="3">
        <f t="shared" si="9"/>
        <v>0.81346564106987984</v>
      </c>
      <c r="M19" s="20">
        <f t="shared" si="10"/>
        <v>7.8534031413612565E-2</v>
      </c>
      <c r="N19" s="1"/>
      <c r="O19" s="7" t="s">
        <v>15</v>
      </c>
      <c r="P19" s="8">
        <v>300000000</v>
      </c>
    </row>
    <row r="20" spans="1:16" ht="45.5" customHeight="1" thickBot="1" x14ac:dyDescent="0.25">
      <c r="A20" s="18" t="s">
        <v>32</v>
      </c>
      <c r="B20" s="3">
        <f t="shared" si="11"/>
        <v>0.54</v>
      </c>
      <c r="C20" s="3">
        <f t="shared" si="0"/>
        <v>0.77142857142857146</v>
      </c>
      <c r="D20" s="3">
        <f t="shared" si="1"/>
        <v>0.67500000000000004</v>
      </c>
      <c r="E20" s="3">
        <f t="shared" si="2"/>
        <v>0.45</v>
      </c>
      <c r="F20" s="3">
        <f t="shared" si="3"/>
        <v>1.08</v>
      </c>
      <c r="G20" s="3">
        <f t="shared" si="4"/>
        <v>0.9</v>
      </c>
      <c r="H20" s="3">
        <f t="shared" si="5"/>
        <v>1</v>
      </c>
      <c r="I20" s="3">
        <f t="shared" si="6"/>
        <v>0.6</v>
      </c>
      <c r="J20" s="3">
        <f t="shared" si="7"/>
        <v>0.71052631578947367</v>
      </c>
      <c r="K20" s="3">
        <f t="shared" si="8"/>
        <v>0.84375</v>
      </c>
      <c r="L20" s="3">
        <f t="shared" si="9"/>
        <v>0.7321190769628918</v>
      </c>
      <c r="M20" s="20">
        <f t="shared" si="10"/>
        <v>7.06806282722513E-2</v>
      </c>
      <c r="N20" s="1"/>
      <c r="O20" s="7" t="s">
        <v>16</v>
      </c>
      <c r="P20" s="8">
        <v>270000000</v>
      </c>
    </row>
    <row r="21" spans="1:16" ht="45.5" customHeight="1" thickBot="1" x14ac:dyDescent="0.25">
      <c r="A21" s="18" t="s">
        <v>33</v>
      </c>
      <c r="B21" s="3">
        <f t="shared" si="11"/>
        <v>0.9</v>
      </c>
      <c r="C21" s="3">
        <f t="shared" si="0"/>
        <v>1.2857142857142858</v>
      </c>
      <c r="D21" s="3">
        <f t="shared" si="1"/>
        <v>1.125</v>
      </c>
      <c r="E21" s="3">
        <f t="shared" si="2"/>
        <v>0.75</v>
      </c>
      <c r="F21" s="3">
        <f t="shared" si="3"/>
        <v>1.8</v>
      </c>
      <c r="G21" s="3">
        <f t="shared" si="4"/>
        <v>1.5</v>
      </c>
      <c r="H21" s="3">
        <f t="shared" si="5"/>
        <v>1.6666666666666667</v>
      </c>
      <c r="I21" s="3">
        <f t="shared" si="6"/>
        <v>1</v>
      </c>
      <c r="J21" s="3">
        <f t="shared" si="7"/>
        <v>1.1842105263157894</v>
      </c>
      <c r="K21" s="3">
        <f t="shared" si="8"/>
        <v>1.40625</v>
      </c>
      <c r="L21" s="3">
        <f t="shared" si="9"/>
        <v>1.2201984616048198</v>
      </c>
      <c r="M21" s="20">
        <f t="shared" si="10"/>
        <v>0.11780104712041886</v>
      </c>
      <c r="N21" s="1"/>
      <c r="O21" s="7" t="s">
        <v>17</v>
      </c>
      <c r="P21" s="8">
        <v>450000000</v>
      </c>
    </row>
    <row r="22" spans="1:16" ht="45.5" customHeight="1" thickBot="1" x14ac:dyDescent="0.25">
      <c r="A22" s="18" t="s">
        <v>34</v>
      </c>
      <c r="B22" s="3">
        <f t="shared" si="11"/>
        <v>0.76</v>
      </c>
      <c r="C22" s="3">
        <f t="shared" si="0"/>
        <v>1.0857142857142856</v>
      </c>
      <c r="D22" s="3">
        <f t="shared" si="1"/>
        <v>0.95</v>
      </c>
      <c r="E22" s="3">
        <f t="shared" si="2"/>
        <v>0.6333333333333333</v>
      </c>
      <c r="F22" s="3">
        <f t="shared" si="3"/>
        <v>1.52</v>
      </c>
      <c r="G22" s="3">
        <f t="shared" si="4"/>
        <v>1.2666666666666666</v>
      </c>
      <c r="H22" s="3">
        <f t="shared" si="5"/>
        <v>1.4074074074074074</v>
      </c>
      <c r="I22" s="3">
        <f t="shared" si="6"/>
        <v>0.84444444444444444</v>
      </c>
      <c r="J22" s="3">
        <f t="shared" si="7"/>
        <v>1</v>
      </c>
      <c r="K22" s="3">
        <f t="shared" si="8"/>
        <v>1.1875</v>
      </c>
      <c r="L22" s="3">
        <f t="shared" si="9"/>
        <v>1.0303898120218478</v>
      </c>
      <c r="M22" s="20">
        <f t="shared" si="10"/>
        <v>9.947643979057591E-2</v>
      </c>
      <c r="N22" s="1"/>
      <c r="O22" s="7" t="s">
        <v>18</v>
      </c>
      <c r="P22" s="8">
        <v>380000000</v>
      </c>
    </row>
    <row r="23" spans="1:16" ht="45.5" customHeight="1" thickBot="1" x14ac:dyDescent="0.25">
      <c r="A23" s="18" t="s">
        <v>35</v>
      </c>
      <c r="B23" s="3">
        <f t="shared" si="11"/>
        <v>0.64</v>
      </c>
      <c r="C23" s="3">
        <f t="shared" si="0"/>
        <v>0.91428571428571426</v>
      </c>
      <c r="D23" s="3">
        <f t="shared" si="1"/>
        <v>0.8</v>
      </c>
      <c r="E23" s="3">
        <f t="shared" si="2"/>
        <v>0.53333333333333333</v>
      </c>
      <c r="F23" s="3">
        <f t="shared" si="3"/>
        <v>1.28</v>
      </c>
      <c r="G23" s="3">
        <f t="shared" si="4"/>
        <v>1.0666666666666667</v>
      </c>
      <c r="H23" s="3">
        <f t="shared" si="5"/>
        <v>1.1851851851851851</v>
      </c>
      <c r="I23" s="3">
        <f t="shared" si="6"/>
        <v>0.71111111111111114</v>
      </c>
      <c r="J23" s="3">
        <f t="shared" si="7"/>
        <v>0.84210526315789469</v>
      </c>
      <c r="K23" s="3">
        <f t="shared" si="8"/>
        <v>1</v>
      </c>
      <c r="L23" s="3">
        <f t="shared" si="9"/>
        <v>0.86769668380787179</v>
      </c>
      <c r="M23" s="20">
        <f t="shared" si="10"/>
        <v>8.3769633507853408E-2</v>
      </c>
      <c r="N23" s="1"/>
      <c r="O23" s="7" t="s">
        <v>19</v>
      </c>
      <c r="P23" s="8">
        <v>320000000</v>
      </c>
    </row>
    <row r="24" spans="1:16" ht="15.5" customHeight="1" x14ac:dyDescent="0.2">
      <c r="A24" s="19" t="s">
        <v>20</v>
      </c>
      <c r="B24" s="1">
        <f>SUM(B14:B23)</f>
        <v>7.64</v>
      </c>
      <c r="C24" s="1">
        <f t="shared" ref="C24:K24" si="12">SUM(C14:C23)</f>
        <v>10.914285714285715</v>
      </c>
      <c r="D24" s="1">
        <f t="shared" si="12"/>
        <v>9.5500000000000007</v>
      </c>
      <c r="E24" s="1">
        <f t="shared" si="12"/>
        <v>6.3666666666666671</v>
      </c>
      <c r="F24" s="1">
        <f t="shared" si="12"/>
        <v>15.28</v>
      </c>
      <c r="G24" s="1">
        <f t="shared" si="12"/>
        <v>12.733333333333334</v>
      </c>
      <c r="H24" s="1">
        <f t="shared" si="12"/>
        <v>14.148148148148147</v>
      </c>
      <c r="I24" s="1">
        <f t="shared" si="12"/>
        <v>8.4888888888888872</v>
      </c>
      <c r="J24" s="1">
        <f t="shared" si="12"/>
        <v>10.052631578947366</v>
      </c>
      <c r="K24" s="1">
        <f t="shared" si="12"/>
        <v>11.9375</v>
      </c>
      <c r="L24" s="1">
        <f>SUM(L14:L23)</f>
        <v>10.35812916295647</v>
      </c>
      <c r="M24" s="1"/>
      <c r="N24" s="1"/>
      <c r="O24" s="1"/>
      <c r="P24" s="1"/>
    </row>
    <row r="25" spans="1:16" ht="15.5" customHeight="1" thickBot="1" x14ac:dyDescent="0.25">
      <c r="A25" s="1"/>
      <c r="B25" s="1">
        <f>M14*B24</f>
        <v>1</v>
      </c>
      <c r="C25" s="1">
        <f>M15*C24</f>
        <v>1</v>
      </c>
      <c r="D25" s="1">
        <f>M16*D24</f>
        <v>1</v>
      </c>
      <c r="E25" s="1">
        <f>M17*E24</f>
        <v>1</v>
      </c>
      <c r="F25" s="1">
        <f>M18*F24</f>
        <v>1</v>
      </c>
      <c r="G25" s="1">
        <f>M19*G24</f>
        <v>1</v>
      </c>
      <c r="H25" s="1">
        <f>M20*H24</f>
        <v>0.99999999999999978</v>
      </c>
      <c r="I25" s="1">
        <f>M21*I24</f>
        <v>0.99999999999999989</v>
      </c>
      <c r="J25" s="1">
        <f>M22*J24</f>
        <v>0.99999999999999978</v>
      </c>
      <c r="K25" s="1">
        <f>M23*K24</f>
        <v>1</v>
      </c>
      <c r="L25" s="1">
        <f>SUM(B25:K25)</f>
        <v>10</v>
      </c>
      <c r="M25" s="1"/>
      <c r="N25" s="1"/>
      <c r="O25" s="1"/>
      <c r="P25" s="1"/>
    </row>
    <row r="26" spans="1:16" ht="15.5" customHeight="1" thickBot="1" x14ac:dyDescent="0.25">
      <c r="A26" s="9" t="s">
        <v>21</v>
      </c>
      <c r="B26" s="6">
        <f>(L25-10)/9</f>
        <v>0</v>
      </c>
      <c r="C26" s="1"/>
      <c r="D26" s="9" t="s">
        <v>22</v>
      </c>
      <c r="E26" s="6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64.75" customHeight="1" thickBot="1" x14ac:dyDescent="0.25">
      <c r="A27" s="21" t="s">
        <v>23</v>
      </c>
      <c r="B27" s="18" t="s">
        <v>26</v>
      </c>
      <c r="C27" s="18" t="s">
        <v>27</v>
      </c>
      <c r="D27" s="18" t="s">
        <v>28</v>
      </c>
      <c r="E27" s="18" t="s">
        <v>29</v>
      </c>
      <c r="F27" s="18" t="s">
        <v>30</v>
      </c>
      <c r="G27" s="18" t="s">
        <v>31</v>
      </c>
      <c r="H27" s="18" t="s">
        <v>32</v>
      </c>
      <c r="I27" s="18" t="s">
        <v>33</v>
      </c>
      <c r="J27" s="18" t="s">
        <v>34</v>
      </c>
      <c r="K27" s="18" t="s">
        <v>35</v>
      </c>
      <c r="L27" s="17" t="s">
        <v>3</v>
      </c>
      <c r="M27" s="17" t="s">
        <v>4</v>
      </c>
      <c r="N27" s="1"/>
      <c r="O27" s="1"/>
      <c r="P27" s="1"/>
    </row>
    <row r="28" spans="1:16" ht="46.75" customHeight="1" thickBot="1" x14ac:dyDescent="0.25">
      <c r="A28" s="18" t="s">
        <v>26</v>
      </c>
      <c r="B28" s="3">
        <v>1</v>
      </c>
      <c r="C28" s="3">
        <f>P28/$P$29</f>
        <v>1.5</v>
      </c>
      <c r="D28" s="3">
        <f t="shared" ref="D28:D37" si="13">P28/$P$30</f>
        <v>1.25</v>
      </c>
      <c r="E28" s="3">
        <f t="shared" ref="E28:E37" si="14">P28/$P$31</f>
        <v>0.75</v>
      </c>
      <c r="F28" s="3">
        <f t="shared" ref="F28:F37" si="15">P28/$P$32</f>
        <v>1.875</v>
      </c>
      <c r="G28" s="3">
        <f t="shared" ref="G28:G37" si="16">P28/$P$33</f>
        <v>1.3636363636363635</v>
      </c>
      <c r="H28" s="3">
        <f t="shared" ref="H28:H37" si="17">P28/$P$34</f>
        <v>1.6666666666666667</v>
      </c>
      <c r="I28" s="3">
        <f t="shared" ref="I28:I37" si="18">P28/$P$35</f>
        <v>1.1538461538461537</v>
      </c>
      <c r="J28" s="3">
        <f t="shared" ref="J28:J37" si="19">P28/$P$36</f>
        <v>1.3043478260869565</v>
      </c>
      <c r="K28" s="3">
        <f t="shared" ref="K28:K37" si="20">P28/$P$37</f>
        <v>1.4285714285714286</v>
      </c>
      <c r="L28" s="3">
        <f>(B28*C28*D28*E28*F28*G28*H28*I28*J28*K28)^0.1</f>
        <v>1.2912354525053999</v>
      </c>
      <c r="M28" s="20">
        <f t="shared" ref="M28:M37" si="21">L28/$L$38</f>
        <v>0.12500000000000003</v>
      </c>
      <c r="N28" s="1"/>
      <c r="O28" s="18" t="s">
        <v>26</v>
      </c>
      <c r="P28" s="11">
        <v>150</v>
      </c>
    </row>
    <row r="29" spans="1:16" ht="46.75" customHeight="1" thickBot="1" x14ac:dyDescent="0.25">
      <c r="A29" s="18" t="s">
        <v>27</v>
      </c>
      <c r="B29" s="3">
        <f>P29/$P$28</f>
        <v>0.66666666666666663</v>
      </c>
      <c r="C29" s="3">
        <f t="shared" ref="C29:C37" si="22">P29/$P$29</f>
        <v>1</v>
      </c>
      <c r="D29" s="3">
        <f t="shared" si="13"/>
        <v>0.83333333333333337</v>
      </c>
      <c r="E29" s="3">
        <f t="shared" si="14"/>
        <v>0.5</v>
      </c>
      <c r="F29" s="3">
        <f t="shared" si="15"/>
        <v>1.25</v>
      </c>
      <c r="G29" s="3">
        <f t="shared" si="16"/>
        <v>0.90909090909090906</v>
      </c>
      <c r="H29" s="3">
        <f t="shared" si="17"/>
        <v>1.1111111111111112</v>
      </c>
      <c r="I29" s="3">
        <f t="shared" si="18"/>
        <v>0.76923076923076927</v>
      </c>
      <c r="J29" s="3">
        <f t="shared" si="19"/>
        <v>0.86956521739130432</v>
      </c>
      <c r="K29" s="3">
        <f t="shared" si="20"/>
        <v>0.95238095238095233</v>
      </c>
      <c r="L29" s="3">
        <f t="shared" ref="L29:L37" si="23">(B29*C29*D29*E29*F29*G29*H29*I29*J29*K29)^0.1</f>
        <v>0.86082363500359993</v>
      </c>
      <c r="M29" s="20">
        <f t="shared" si="21"/>
        <v>8.3333333333333343E-2</v>
      </c>
      <c r="N29" s="1"/>
      <c r="O29" s="18" t="s">
        <v>27</v>
      </c>
      <c r="P29" s="12">
        <v>100</v>
      </c>
    </row>
    <row r="30" spans="1:16" ht="46.75" customHeight="1" thickBot="1" x14ac:dyDescent="0.25">
      <c r="A30" s="18" t="s">
        <v>28</v>
      </c>
      <c r="B30" s="3">
        <f t="shared" ref="B30:B37" si="24">P30/$P$28</f>
        <v>0.8</v>
      </c>
      <c r="C30" s="3">
        <f t="shared" si="22"/>
        <v>1.2</v>
      </c>
      <c r="D30" s="3">
        <f t="shared" si="13"/>
        <v>1</v>
      </c>
      <c r="E30" s="3">
        <f t="shared" si="14"/>
        <v>0.6</v>
      </c>
      <c r="F30" s="3">
        <f t="shared" si="15"/>
        <v>1.5</v>
      </c>
      <c r="G30" s="3">
        <f t="shared" si="16"/>
        <v>1.0909090909090908</v>
      </c>
      <c r="H30" s="3">
        <f t="shared" si="17"/>
        <v>1.3333333333333333</v>
      </c>
      <c r="I30" s="3">
        <f t="shared" si="18"/>
        <v>0.92307692307692313</v>
      </c>
      <c r="J30" s="3">
        <f t="shared" si="19"/>
        <v>1.0434782608695652</v>
      </c>
      <c r="K30" s="3">
        <f t="shared" si="20"/>
        <v>1.1428571428571428</v>
      </c>
      <c r="L30" s="3">
        <f t="shared" si="23"/>
        <v>1.0329883620043199</v>
      </c>
      <c r="M30" s="20">
        <f t="shared" si="21"/>
        <v>0.1</v>
      </c>
      <c r="N30" s="1"/>
      <c r="O30" s="18" t="s">
        <v>28</v>
      </c>
      <c r="P30" s="12">
        <v>120</v>
      </c>
    </row>
    <row r="31" spans="1:16" ht="46.75" customHeight="1" thickBot="1" x14ac:dyDescent="0.25">
      <c r="A31" s="18" t="s">
        <v>29</v>
      </c>
      <c r="B31" s="3">
        <f t="shared" si="24"/>
        <v>1.3333333333333333</v>
      </c>
      <c r="C31" s="3">
        <f t="shared" si="22"/>
        <v>2</v>
      </c>
      <c r="D31" s="3">
        <f t="shared" si="13"/>
        <v>1.6666666666666667</v>
      </c>
      <c r="E31" s="3">
        <f t="shared" si="14"/>
        <v>1</v>
      </c>
      <c r="F31" s="3">
        <f t="shared" si="15"/>
        <v>2.5</v>
      </c>
      <c r="G31" s="3">
        <f t="shared" si="16"/>
        <v>1.8181818181818181</v>
      </c>
      <c r="H31" s="3">
        <f t="shared" si="17"/>
        <v>2.2222222222222223</v>
      </c>
      <c r="I31" s="3">
        <f t="shared" si="18"/>
        <v>1.5384615384615385</v>
      </c>
      <c r="J31" s="3">
        <f t="shared" si="19"/>
        <v>1.7391304347826086</v>
      </c>
      <c r="K31" s="3">
        <f t="shared" si="20"/>
        <v>1.9047619047619047</v>
      </c>
      <c r="L31" s="3">
        <f t="shared" si="23"/>
        <v>1.7216472700071999</v>
      </c>
      <c r="M31" s="20">
        <f t="shared" si="21"/>
        <v>0.16666666666666669</v>
      </c>
      <c r="N31" s="1"/>
      <c r="O31" s="18" t="s">
        <v>29</v>
      </c>
      <c r="P31" s="12">
        <v>200</v>
      </c>
    </row>
    <row r="32" spans="1:16" ht="64.75" customHeight="1" thickBot="1" x14ac:dyDescent="0.25">
      <c r="A32" s="18" t="s">
        <v>30</v>
      </c>
      <c r="B32" s="3">
        <f t="shared" si="24"/>
        <v>0.53333333333333333</v>
      </c>
      <c r="C32" s="3">
        <f t="shared" si="22"/>
        <v>0.8</v>
      </c>
      <c r="D32" s="3">
        <f t="shared" si="13"/>
        <v>0.66666666666666663</v>
      </c>
      <c r="E32" s="3">
        <f t="shared" si="14"/>
        <v>0.4</v>
      </c>
      <c r="F32" s="3">
        <f t="shared" si="15"/>
        <v>1</v>
      </c>
      <c r="G32" s="3">
        <f t="shared" si="16"/>
        <v>0.72727272727272729</v>
      </c>
      <c r="H32" s="3">
        <f t="shared" si="17"/>
        <v>0.88888888888888884</v>
      </c>
      <c r="I32" s="3">
        <f t="shared" si="18"/>
        <v>0.61538461538461542</v>
      </c>
      <c r="J32" s="3">
        <f t="shared" si="19"/>
        <v>0.69565217391304346</v>
      </c>
      <c r="K32" s="3">
        <f t="shared" si="20"/>
        <v>0.76190476190476186</v>
      </c>
      <c r="L32" s="3">
        <f t="shared" si="23"/>
        <v>0.68865890800287988</v>
      </c>
      <c r="M32" s="20">
        <f t="shared" si="21"/>
        <v>6.6666666666666666E-2</v>
      </c>
      <c r="N32" s="1"/>
      <c r="O32" s="18" t="s">
        <v>30</v>
      </c>
      <c r="P32" s="12">
        <v>80</v>
      </c>
    </row>
    <row r="33" spans="1:16" ht="46.75" customHeight="1" thickBot="1" x14ac:dyDescent="0.25">
      <c r="A33" s="18" t="s">
        <v>31</v>
      </c>
      <c r="B33" s="3">
        <f t="shared" si="24"/>
        <v>0.73333333333333328</v>
      </c>
      <c r="C33" s="3">
        <f t="shared" si="22"/>
        <v>1.1000000000000001</v>
      </c>
      <c r="D33" s="3">
        <f t="shared" si="13"/>
        <v>0.91666666666666663</v>
      </c>
      <c r="E33" s="3">
        <f t="shared" si="14"/>
        <v>0.55000000000000004</v>
      </c>
      <c r="F33" s="3">
        <f t="shared" si="15"/>
        <v>1.375</v>
      </c>
      <c r="G33" s="3">
        <f t="shared" si="16"/>
        <v>1</v>
      </c>
      <c r="H33" s="3">
        <f t="shared" si="17"/>
        <v>1.2222222222222223</v>
      </c>
      <c r="I33" s="3">
        <f t="shared" si="18"/>
        <v>0.84615384615384615</v>
      </c>
      <c r="J33" s="3">
        <f t="shared" si="19"/>
        <v>0.95652173913043481</v>
      </c>
      <c r="K33" s="3">
        <f t="shared" si="20"/>
        <v>1.0476190476190477</v>
      </c>
      <c r="L33" s="3">
        <f t="shared" si="23"/>
        <v>0.94690599850395996</v>
      </c>
      <c r="M33" s="20">
        <f t="shared" si="21"/>
        <v>9.1666666666666688E-2</v>
      </c>
      <c r="N33" s="1"/>
      <c r="O33" s="18" t="s">
        <v>31</v>
      </c>
      <c r="P33" s="12">
        <v>110</v>
      </c>
    </row>
    <row r="34" spans="1:16" ht="46.75" customHeight="1" thickBot="1" x14ac:dyDescent="0.25">
      <c r="A34" s="18" t="s">
        <v>32</v>
      </c>
      <c r="B34" s="3">
        <f t="shared" si="24"/>
        <v>0.6</v>
      </c>
      <c r="C34" s="3">
        <f t="shared" si="22"/>
        <v>0.9</v>
      </c>
      <c r="D34" s="3">
        <f t="shared" si="13"/>
        <v>0.75</v>
      </c>
      <c r="E34" s="3">
        <f t="shared" si="14"/>
        <v>0.45</v>
      </c>
      <c r="F34" s="3">
        <f t="shared" si="15"/>
        <v>1.125</v>
      </c>
      <c r="G34" s="3">
        <f t="shared" si="16"/>
        <v>0.81818181818181823</v>
      </c>
      <c r="H34" s="3">
        <f t="shared" si="17"/>
        <v>1</v>
      </c>
      <c r="I34" s="3">
        <f t="shared" si="18"/>
        <v>0.69230769230769229</v>
      </c>
      <c r="J34" s="3">
        <f t="shared" si="19"/>
        <v>0.78260869565217395</v>
      </c>
      <c r="K34" s="3">
        <f t="shared" si="20"/>
        <v>0.8571428571428571</v>
      </c>
      <c r="L34" s="3">
        <f t="shared" si="23"/>
        <v>0.7747412715032399</v>
      </c>
      <c r="M34" s="20">
        <f t="shared" si="21"/>
        <v>7.5000000000000011E-2</v>
      </c>
      <c r="N34" s="1"/>
      <c r="O34" s="18" t="s">
        <v>32</v>
      </c>
      <c r="P34" s="12">
        <v>90</v>
      </c>
    </row>
    <row r="35" spans="1:16" ht="46.75" customHeight="1" thickBot="1" x14ac:dyDescent="0.25">
      <c r="A35" s="18" t="s">
        <v>33</v>
      </c>
      <c r="B35" s="3">
        <f t="shared" si="24"/>
        <v>0.8666666666666667</v>
      </c>
      <c r="C35" s="3">
        <f t="shared" si="22"/>
        <v>1.3</v>
      </c>
      <c r="D35" s="3">
        <f t="shared" si="13"/>
        <v>1.0833333333333333</v>
      </c>
      <c r="E35" s="3">
        <f t="shared" si="14"/>
        <v>0.65</v>
      </c>
      <c r="F35" s="3">
        <f t="shared" si="15"/>
        <v>1.625</v>
      </c>
      <c r="G35" s="3">
        <f t="shared" si="16"/>
        <v>1.1818181818181819</v>
      </c>
      <c r="H35" s="3">
        <f t="shared" si="17"/>
        <v>1.4444444444444444</v>
      </c>
      <c r="I35" s="3">
        <f t="shared" si="18"/>
        <v>1</v>
      </c>
      <c r="J35" s="3">
        <f t="shared" si="19"/>
        <v>1.1304347826086956</v>
      </c>
      <c r="K35" s="3">
        <f t="shared" si="20"/>
        <v>1.2380952380952381</v>
      </c>
      <c r="L35" s="3">
        <f t="shared" si="23"/>
        <v>1.1190707255046799</v>
      </c>
      <c r="M35" s="20">
        <f t="shared" si="21"/>
        <v>0.10833333333333335</v>
      </c>
      <c r="N35" s="1"/>
      <c r="O35" s="18" t="s">
        <v>33</v>
      </c>
      <c r="P35" s="12">
        <v>130</v>
      </c>
    </row>
    <row r="36" spans="1:16" ht="46.75" customHeight="1" thickBot="1" x14ac:dyDescent="0.25">
      <c r="A36" s="18" t="s">
        <v>34</v>
      </c>
      <c r="B36" s="3">
        <f t="shared" si="24"/>
        <v>0.76666666666666672</v>
      </c>
      <c r="C36" s="3">
        <f t="shared" si="22"/>
        <v>1.1499999999999999</v>
      </c>
      <c r="D36" s="3">
        <f t="shared" si="13"/>
        <v>0.95833333333333337</v>
      </c>
      <c r="E36" s="3">
        <f t="shared" si="14"/>
        <v>0.57499999999999996</v>
      </c>
      <c r="F36" s="3">
        <f t="shared" si="15"/>
        <v>1.4375</v>
      </c>
      <c r="G36" s="3">
        <f t="shared" si="16"/>
        <v>1.0454545454545454</v>
      </c>
      <c r="H36" s="3">
        <f t="shared" si="17"/>
        <v>1.2777777777777777</v>
      </c>
      <c r="I36" s="3">
        <f t="shared" si="18"/>
        <v>0.88461538461538458</v>
      </c>
      <c r="J36" s="3">
        <f t="shared" si="19"/>
        <v>1</v>
      </c>
      <c r="K36" s="3">
        <f t="shared" si="20"/>
        <v>1.0952380952380953</v>
      </c>
      <c r="L36" s="3">
        <f t="shared" si="23"/>
        <v>0.98994718025413986</v>
      </c>
      <c r="M36" s="20">
        <f t="shared" si="21"/>
        <v>9.583333333333334E-2</v>
      </c>
      <c r="N36" s="1"/>
      <c r="O36" s="18" t="s">
        <v>34</v>
      </c>
      <c r="P36" s="12">
        <v>115</v>
      </c>
    </row>
    <row r="37" spans="1:16" ht="46.75" customHeight="1" thickBot="1" x14ac:dyDescent="0.25">
      <c r="A37" s="18" t="s">
        <v>35</v>
      </c>
      <c r="B37" s="3">
        <f t="shared" si="24"/>
        <v>0.7</v>
      </c>
      <c r="C37" s="3">
        <f t="shared" si="22"/>
        <v>1.05</v>
      </c>
      <c r="D37" s="3">
        <f t="shared" si="13"/>
        <v>0.875</v>
      </c>
      <c r="E37" s="3">
        <f t="shared" si="14"/>
        <v>0.52500000000000002</v>
      </c>
      <c r="F37" s="3">
        <f t="shared" si="15"/>
        <v>1.3125</v>
      </c>
      <c r="G37" s="3">
        <f t="shared" si="16"/>
        <v>0.95454545454545459</v>
      </c>
      <c r="H37" s="3">
        <f t="shared" si="17"/>
        <v>1.1666666666666667</v>
      </c>
      <c r="I37" s="3">
        <f t="shared" si="18"/>
        <v>0.80769230769230771</v>
      </c>
      <c r="J37" s="3">
        <f t="shared" si="19"/>
        <v>0.91304347826086951</v>
      </c>
      <c r="K37" s="3">
        <f t="shared" si="20"/>
        <v>1</v>
      </c>
      <c r="L37" s="3">
        <f t="shared" si="23"/>
        <v>0.90386481675377994</v>
      </c>
      <c r="M37" s="20">
        <f t="shared" si="21"/>
        <v>8.7500000000000008E-2</v>
      </c>
      <c r="N37" s="1"/>
      <c r="O37" s="18" t="s">
        <v>35</v>
      </c>
      <c r="P37" s="12">
        <v>105</v>
      </c>
    </row>
    <row r="38" spans="1:16" ht="15.5" customHeight="1" x14ac:dyDescent="0.2">
      <c r="A38" s="19" t="s">
        <v>20</v>
      </c>
      <c r="B38" s="1">
        <f>SUM(B28:B37)</f>
        <v>8</v>
      </c>
      <c r="C38" s="1">
        <f t="shared" ref="C38:L38" si="25">SUM(C28:C37)</f>
        <v>12.000000000000002</v>
      </c>
      <c r="D38" s="1">
        <f t="shared" si="25"/>
        <v>10.000000000000002</v>
      </c>
      <c r="E38" s="1">
        <f t="shared" si="25"/>
        <v>6.0000000000000009</v>
      </c>
      <c r="F38" s="1">
        <f t="shared" si="25"/>
        <v>15</v>
      </c>
      <c r="G38" s="1">
        <f t="shared" si="25"/>
        <v>10.90909090909091</v>
      </c>
      <c r="H38" s="1">
        <f t="shared" si="25"/>
        <v>13.33333333333333</v>
      </c>
      <c r="I38" s="1">
        <f t="shared" si="25"/>
        <v>9.2307692307692317</v>
      </c>
      <c r="J38" s="1">
        <f t="shared" si="25"/>
        <v>10.434782608695652</v>
      </c>
      <c r="K38" s="1">
        <f t="shared" si="25"/>
        <v>11.428571428571427</v>
      </c>
      <c r="L38" s="1">
        <f t="shared" si="25"/>
        <v>10.329883620043198</v>
      </c>
      <c r="M38" s="1"/>
      <c r="N38" s="1"/>
      <c r="O38" s="1"/>
      <c r="P38" s="1"/>
    </row>
    <row r="39" spans="1:16" ht="15.5" customHeight="1" thickBot="1" x14ac:dyDescent="0.25">
      <c r="A39" s="1"/>
      <c r="B39" s="1">
        <f>B38*M28</f>
        <v>1.0000000000000002</v>
      </c>
      <c r="C39" s="1">
        <f>C38*M29</f>
        <v>1.0000000000000002</v>
      </c>
      <c r="D39" s="1">
        <f>D38*M30</f>
        <v>1.0000000000000002</v>
      </c>
      <c r="E39" s="1">
        <f>E38*M31</f>
        <v>1.0000000000000002</v>
      </c>
      <c r="F39" s="1">
        <f>F38*M32</f>
        <v>1</v>
      </c>
      <c r="G39" s="1">
        <f>G38*M33</f>
        <v>1.0000000000000002</v>
      </c>
      <c r="H39" s="1">
        <f>H38*M34</f>
        <v>0.99999999999999989</v>
      </c>
      <c r="I39" s="1">
        <f>I38*M35</f>
        <v>1.0000000000000002</v>
      </c>
      <c r="J39" s="1">
        <f>J38*M36</f>
        <v>1</v>
      </c>
      <c r="K39" s="1">
        <f>K38*M37</f>
        <v>1</v>
      </c>
      <c r="L39" s="1">
        <f>SUM(B39:K39)</f>
        <v>10.000000000000002</v>
      </c>
      <c r="M39" s="1"/>
      <c r="N39" s="1"/>
      <c r="O39" s="1"/>
      <c r="P39" s="1"/>
    </row>
    <row r="40" spans="1:16" ht="15.5" customHeight="1" thickBot="1" x14ac:dyDescent="0.25">
      <c r="A40" s="9" t="s">
        <v>21</v>
      </c>
      <c r="B40" s="6">
        <v>0</v>
      </c>
      <c r="C40" s="1"/>
      <c r="D40" s="9" t="s">
        <v>22</v>
      </c>
      <c r="E40" s="6">
        <v>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61.75" customHeight="1" thickBot="1" x14ac:dyDescent="0.25">
      <c r="A41" s="17" t="s">
        <v>24</v>
      </c>
      <c r="B41" s="18" t="s">
        <v>26</v>
      </c>
      <c r="C41" s="18" t="s">
        <v>27</v>
      </c>
      <c r="D41" s="18" t="s">
        <v>28</v>
      </c>
      <c r="E41" s="18" t="s">
        <v>29</v>
      </c>
      <c r="F41" s="18" t="s">
        <v>30</v>
      </c>
      <c r="G41" s="18" t="s">
        <v>31</v>
      </c>
      <c r="H41" s="18" t="s">
        <v>32</v>
      </c>
      <c r="I41" s="18" t="s">
        <v>33</v>
      </c>
      <c r="J41" s="18" t="s">
        <v>34</v>
      </c>
      <c r="K41" s="18" t="s">
        <v>35</v>
      </c>
      <c r="L41" s="17" t="s">
        <v>3</v>
      </c>
      <c r="M41" s="17" t="s">
        <v>4</v>
      </c>
      <c r="N41" s="1"/>
      <c r="O41" s="1"/>
      <c r="P41" s="1"/>
    </row>
    <row r="42" spans="1:16" ht="45" customHeight="1" thickBot="1" x14ac:dyDescent="0.25">
      <c r="A42" s="18" t="s">
        <v>26</v>
      </c>
      <c r="B42" s="3">
        <v>1</v>
      </c>
      <c r="C42" s="3">
        <f>P42/$P$43</f>
        <v>1.3333333333333333</v>
      </c>
      <c r="D42" s="3">
        <f>P42/$P$44</f>
        <v>1.2</v>
      </c>
      <c r="E42" s="3">
        <f>P42/$P$45</f>
        <v>0.8571428571428571</v>
      </c>
      <c r="F42" s="3">
        <f t="shared" ref="F42:F51" si="26">P42/$P$46</f>
        <v>1.5</v>
      </c>
      <c r="G42" s="3">
        <f t="shared" ref="G42:G51" si="27">P42/$P$47</f>
        <v>1.3333333333333333</v>
      </c>
      <c r="H42" s="3">
        <f t="shared" ref="H42:H51" si="28">P42/$P$48</f>
        <v>1.411764705882353</v>
      </c>
      <c r="I42" s="3">
        <f t="shared" ref="I42:I51" si="29">P42/$P$49</f>
        <v>1.0909090909090908</v>
      </c>
      <c r="J42" s="3">
        <f t="shared" ref="J42:J51" si="30">P42/$P$50</f>
        <v>1.263157894736842</v>
      </c>
      <c r="K42" s="3">
        <f t="shared" ref="K42:K51" si="31">P42/$P$51</f>
        <v>1.3333333333333333</v>
      </c>
      <c r="L42" s="3">
        <f>(B42*C42*D42*E42*F42*G42*H42*I42*J42*K42)^0.1</f>
        <v>1.2167883549467591</v>
      </c>
      <c r="M42" s="20">
        <f t="shared" ref="M42:M52" si="32">L42/$L$60</f>
        <v>3.6890871518389816E-2</v>
      </c>
      <c r="N42" s="1"/>
      <c r="O42" s="18" t="s">
        <v>26</v>
      </c>
      <c r="P42" s="11">
        <v>1200</v>
      </c>
    </row>
    <row r="43" spans="1:16" ht="45" customHeight="1" thickBot="1" x14ac:dyDescent="0.25">
      <c r="A43" s="18" t="s">
        <v>27</v>
      </c>
      <c r="B43" s="3">
        <f>P43/$P$42</f>
        <v>0.75</v>
      </c>
      <c r="C43" s="3">
        <f t="shared" ref="C43:C51" si="33">P43/$P$43</f>
        <v>1</v>
      </c>
      <c r="D43" s="3">
        <f t="shared" ref="D43:D51" si="34">P43/$P$44</f>
        <v>0.9</v>
      </c>
      <c r="E43" s="3">
        <f t="shared" ref="E43:E51" si="35">P43/$P$45</f>
        <v>0.6428571428571429</v>
      </c>
      <c r="F43" s="3">
        <f t="shared" si="26"/>
        <v>1.125</v>
      </c>
      <c r="G43" s="3">
        <f t="shared" si="27"/>
        <v>1</v>
      </c>
      <c r="H43" s="3">
        <f t="shared" si="28"/>
        <v>1.0588235294117647</v>
      </c>
      <c r="I43" s="3">
        <f t="shared" si="29"/>
        <v>0.81818181818181823</v>
      </c>
      <c r="J43" s="3">
        <f t="shared" si="30"/>
        <v>0.94736842105263153</v>
      </c>
      <c r="K43" s="3">
        <f t="shared" si="31"/>
        <v>1</v>
      </c>
      <c r="L43" s="3">
        <f t="shared" ref="L43:L51" si="36">(B43*C43*D43*E43*F43*G43*H43*I43*J43*K43)^0.1</f>
        <v>0.91259126621006925</v>
      </c>
      <c r="M43" s="20">
        <f t="shared" si="32"/>
        <v>2.7668153638792364E-2</v>
      </c>
      <c r="N43" s="1"/>
      <c r="O43" s="18" t="s">
        <v>27</v>
      </c>
      <c r="P43" s="12">
        <v>900</v>
      </c>
    </row>
    <row r="44" spans="1:16" ht="45" customHeight="1" thickBot="1" x14ac:dyDescent="0.25">
      <c r="A44" s="18" t="s">
        <v>28</v>
      </c>
      <c r="B44" s="3">
        <f>P44/$P$42</f>
        <v>0.83333333333333337</v>
      </c>
      <c r="C44" s="3">
        <f t="shared" si="33"/>
        <v>1.1111111111111112</v>
      </c>
      <c r="D44" s="3">
        <f t="shared" si="34"/>
        <v>1</v>
      </c>
      <c r="E44" s="3">
        <f t="shared" si="35"/>
        <v>0.7142857142857143</v>
      </c>
      <c r="F44" s="3">
        <f t="shared" si="26"/>
        <v>1.25</v>
      </c>
      <c r="G44" s="3">
        <f t="shared" si="27"/>
        <v>1.1111111111111112</v>
      </c>
      <c r="H44" s="3">
        <f t="shared" si="28"/>
        <v>1.1764705882352942</v>
      </c>
      <c r="I44" s="3">
        <f t="shared" si="29"/>
        <v>0.90909090909090906</v>
      </c>
      <c r="J44" s="3">
        <f t="shared" si="30"/>
        <v>1.0526315789473684</v>
      </c>
      <c r="K44" s="3">
        <f t="shared" si="31"/>
        <v>1.1111111111111112</v>
      </c>
      <c r="L44" s="3">
        <f t="shared" si="36"/>
        <v>1.0139902957889659</v>
      </c>
      <c r="M44" s="20">
        <f t="shared" si="32"/>
        <v>3.0742392931991516E-2</v>
      </c>
      <c r="N44" s="1"/>
      <c r="O44" s="18" t="s">
        <v>28</v>
      </c>
      <c r="P44" s="12">
        <v>1000</v>
      </c>
    </row>
    <row r="45" spans="1:16" ht="52.75" customHeight="1" thickBot="1" x14ac:dyDescent="0.25">
      <c r="A45" s="18" t="s">
        <v>29</v>
      </c>
      <c r="B45" s="3">
        <f>P45/$P$42</f>
        <v>1.1666666666666667</v>
      </c>
      <c r="C45" s="3">
        <f t="shared" si="33"/>
        <v>1.5555555555555556</v>
      </c>
      <c r="D45" s="3">
        <f t="shared" si="34"/>
        <v>1.4</v>
      </c>
      <c r="E45" s="3">
        <f t="shared" si="35"/>
        <v>1</v>
      </c>
      <c r="F45" s="3">
        <f t="shared" si="26"/>
        <v>1.75</v>
      </c>
      <c r="G45" s="3">
        <f t="shared" si="27"/>
        <v>1.5555555555555556</v>
      </c>
      <c r="H45" s="3">
        <f t="shared" si="28"/>
        <v>1.6470588235294117</v>
      </c>
      <c r="I45" s="3">
        <f t="shared" si="29"/>
        <v>1.2727272727272727</v>
      </c>
      <c r="J45" s="3">
        <f t="shared" si="30"/>
        <v>1.4736842105263157</v>
      </c>
      <c r="K45" s="3">
        <f t="shared" si="31"/>
        <v>1.5555555555555556</v>
      </c>
      <c r="L45" s="3">
        <f t="shared" si="36"/>
        <v>1.4195864141045522</v>
      </c>
      <c r="M45" s="20">
        <f t="shared" si="32"/>
        <v>4.303935010478812E-2</v>
      </c>
      <c r="N45" s="1"/>
      <c r="O45" s="18" t="s">
        <v>29</v>
      </c>
      <c r="P45" s="12">
        <v>1400</v>
      </c>
    </row>
    <row r="46" spans="1:16" ht="54.5" customHeight="1" thickBot="1" x14ac:dyDescent="0.25">
      <c r="A46" s="18" t="s">
        <v>30</v>
      </c>
      <c r="B46" s="3">
        <f t="shared" ref="B46:B51" si="37">P46/$P$42</f>
        <v>0.66666666666666663</v>
      </c>
      <c r="C46" s="3">
        <f t="shared" si="33"/>
        <v>0.88888888888888884</v>
      </c>
      <c r="D46" s="3">
        <f t="shared" si="34"/>
        <v>0.8</v>
      </c>
      <c r="E46" s="3">
        <f t="shared" si="35"/>
        <v>0.5714285714285714</v>
      </c>
      <c r="F46" s="3">
        <f t="shared" si="26"/>
        <v>1</v>
      </c>
      <c r="G46" s="3">
        <f t="shared" si="27"/>
        <v>0.88888888888888884</v>
      </c>
      <c r="H46" s="3">
        <f t="shared" si="28"/>
        <v>0.94117647058823528</v>
      </c>
      <c r="I46" s="3">
        <f t="shared" si="29"/>
        <v>0.72727272727272729</v>
      </c>
      <c r="J46" s="3">
        <f t="shared" si="30"/>
        <v>0.84210526315789469</v>
      </c>
      <c r="K46" s="3">
        <f t="shared" si="31"/>
        <v>0.88888888888888884</v>
      </c>
      <c r="L46" s="3">
        <f t="shared" si="36"/>
        <v>0.81119223663117268</v>
      </c>
      <c r="M46" s="20">
        <f t="shared" si="32"/>
        <v>2.4593914345593212E-2</v>
      </c>
      <c r="N46" s="1"/>
      <c r="O46" s="18" t="s">
        <v>30</v>
      </c>
      <c r="P46" s="12">
        <v>800</v>
      </c>
    </row>
    <row r="47" spans="1:16" ht="45" customHeight="1" thickBot="1" x14ac:dyDescent="0.25">
      <c r="A47" s="18" t="s">
        <v>31</v>
      </c>
      <c r="B47" s="3">
        <f t="shared" si="37"/>
        <v>0.75</v>
      </c>
      <c r="C47" s="3">
        <f t="shared" si="33"/>
        <v>1</v>
      </c>
      <c r="D47" s="3">
        <f t="shared" si="34"/>
        <v>0.9</v>
      </c>
      <c r="E47" s="3">
        <f t="shared" si="35"/>
        <v>0.6428571428571429</v>
      </c>
      <c r="F47" s="3">
        <f t="shared" si="26"/>
        <v>1.125</v>
      </c>
      <c r="G47" s="3">
        <f t="shared" si="27"/>
        <v>1</v>
      </c>
      <c r="H47" s="3">
        <f t="shared" si="28"/>
        <v>1.0588235294117647</v>
      </c>
      <c r="I47" s="3">
        <f t="shared" si="29"/>
        <v>0.81818181818181823</v>
      </c>
      <c r="J47" s="3">
        <f t="shared" si="30"/>
        <v>0.94736842105263153</v>
      </c>
      <c r="K47" s="3">
        <f t="shared" si="31"/>
        <v>1</v>
      </c>
      <c r="L47" s="3">
        <f t="shared" si="36"/>
        <v>0.91259126621006925</v>
      </c>
      <c r="M47" s="20">
        <f t="shared" si="32"/>
        <v>2.7668153638792364E-2</v>
      </c>
      <c r="N47" s="1"/>
      <c r="O47" s="18" t="s">
        <v>31</v>
      </c>
      <c r="P47" s="12">
        <v>900</v>
      </c>
    </row>
    <row r="48" spans="1:16" ht="45" customHeight="1" thickBot="1" x14ac:dyDescent="0.25">
      <c r="A48" s="18" t="s">
        <v>32</v>
      </c>
      <c r="B48" s="3">
        <f t="shared" si="37"/>
        <v>0.70833333333333337</v>
      </c>
      <c r="C48" s="3">
        <f t="shared" si="33"/>
        <v>0.94444444444444442</v>
      </c>
      <c r="D48" s="3">
        <f t="shared" si="34"/>
        <v>0.85</v>
      </c>
      <c r="E48" s="3">
        <f t="shared" si="35"/>
        <v>0.6071428571428571</v>
      </c>
      <c r="F48" s="3">
        <f t="shared" si="26"/>
        <v>1.0625</v>
      </c>
      <c r="G48" s="3">
        <f t="shared" si="27"/>
        <v>0.94444444444444442</v>
      </c>
      <c r="H48" s="3">
        <f t="shared" si="28"/>
        <v>1</v>
      </c>
      <c r="I48" s="3">
        <f t="shared" si="29"/>
        <v>0.77272727272727271</v>
      </c>
      <c r="J48" s="3">
        <f t="shared" si="30"/>
        <v>0.89473684210526316</v>
      </c>
      <c r="K48" s="3">
        <f t="shared" si="31"/>
        <v>0.94444444444444442</v>
      </c>
      <c r="L48" s="3">
        <f t="shared" si="36"/>
        <v>0.86189175142062091</v>
      </c>
      <c r="M48" s="20">
        <f t="shared" si="32"/>
        <v>2.6131033992192784E-2</v>
      </c>
      <c r="N48" s="1"/>
      <c r="O48" s="18" t="s">
        <v>32</v>
      </c>
      <c r="P48" s="12">
        <v>850</v>
      </c>
    </row>
    <row r="49" spans="1:16" ht="45" customHeight="1" thickBot="1" x14ac:dyDescent="0.25">
      <c r="A49" s="18" t="s">
        <v>33</v>
      </c>
      <c r="B49" s="3">
        <f t="shared" si="37"/>
        <v>0.91666666666666663</v>
      </c>
      <c r="C49" s="3">
        <f t="shared" si="33"/>
        <v>1.2222222222222223</v>
      </c>
      <c r="D49" s="3">
        <f t="shared" si="34"/>
        <v>1.1000000000000001</v>
      </c>
      <c r="E49" s="3">
        <f t="shared" si="35"/>
        <v>0.7857142857142857</v>
      </c>
      <c r="F49" s="3">
        <f t="shared" si="26"/>
        <v>1.375</v>
      </c>
      <c r="G49" s="3">
        <f t="shared" si="27"/>
        <v>1.2222222222222223</v>
      </c>
      <c r="H49" s="3">
        <f t="shared" si="28"/>
        <v>1.2941176470588236</v>
      </c>
      <c r="I49" s="3">
        <f t="shared" si="29"/>
        <v>1</v>
      </c>
      <c r="J49" s="3">
        <f t="shared" si="30"/>
        <v>1.1578947368421053</v>
      </c>
      <c r="K49" s="3">
        <f t="shared" si="31"/>
        <v>1.2222222222222223</v>
      </c>
      <c r="L49" s="3">
        <f t="shared" si="36"/>
        <v>1.1153893253678626</v>
      </c>
      <c r="M49" s="20">
        <f t="shared" si="32"/>
        <v>3.3816632225190671E-2</v>
      </c>
      <c r="N49" s="1"/>
      <c r="O49" s="18" t="s">
        <v>33</v>
      </c>
      <c r="P49" s="12">
        <v>1100</v>
      </c>
    </row>
    <row r="50" spans="1:16" ht="49.25" customHeight="1" thickBot="1" x14ac:dyDescent="0.25">
      <c r="A50" s="18" t="s">
        <v>34</v>
      </c>
      <c r="B50" s="3">
        <f t="shared" si="37"/>
        <v>0.79166666666666663</v>
      </c>
      <c r="C50" s="3">
        <f t="shared" si="33"/>
        <v>1.0555555555555556</v>
      </c>
      <c r="D50" s="3">
        <f t="shared" si="34"/>
        <v>0.95</v>
      </c>
      <c r="E50" s="3">
        <f t="shared" si="35"/>
        <v>0.6785714285714286</v>
      </c>
      <c r="F50" s="3">
        <f t="shared" si="26"/>
        <v>1.1875</v>
      </c>
      <c r="G50" s="3">
        <f t="shared" si="27"/>
        <v>1.0555555555555556</v>
      </c>
      <c r="H50" s="3">
        <f t="shared" si="28"/>
        <v>1.1176470588235294</v>
      </c>
      <c r="I50" s="3">
        <f t="shared" si="29"/>
        <v>0.86363636363636365</v>
      </c>
      <c r="J50" s="3">
        <f t="shared" si="30"/>
        <v>1</v>
      </c>
      <c r="K50" s="3">
        <f t="shared" si="31"/>
        <v>1.0555555555555556</v>
      </c>
      <c r="L50" s="3">
        <f t="shared" si="36"/>
        <v>0.96329078099951759</v>
      </c>
      <c r="M50" s="20">
        <f t="shared" si="32"/>
        <v>2.920527328539194E-2</v>
      </c>
      <c r="N50" s="1"/>
      <c r="O50" s="18" t="s">
        <v>34</v>
      </c>
      <c r="P50" s="12">
        <v>950</v>
      </c>
    </row>
    <row r="51" spans="1:16" ht="45" customHeight="1" thickBot="1" x14ac:dyDescent="0.25">
      <c r="A51" s="18" t="s">
        <v>35</v>
      </c>
      <c r="B51" s="3">
        <f t="shared" si="37"/>
        <v>0.75</v>
      </c>
      <c r="C51" s="3">
        <f t="shared" si="33"/>
        <v>1</v>
      </c>
      <c r="D51" s="3">
        <f t="shared" si="34"/>
        <v>0.9</v>
      </c>
      <c r="E51" s="3">
        <f t="shared" si="35"/>
        <v>0.6428571428571429</v>
      </c>
      <c r="F51" s="3">
        <f t="shared" si="26"/>
        <v>1.125</v>
      </c>
      <c r="G51" s="3">
        <f t="shared" si="27"/>
        <v>1</v>
      </c>
      <c r="H51" s="3">
        <f t="shared" si="28"/>
        <v>1.0588235294117647</v>
      </c>
      <c r="I51" s="3">
        <f t="shared" si="29"/>
        <v>0.81818181818181823</v>
      </c>
      <c r="J51" s="3">
        <f t="shared" si="30"/>
        <v>0.94736842105263153</v>
      </c>
      <c r="K51" s="3">
        <f t="shared" si="31"/>
        <v>1</v>
      </c>
      <c r="L51" s="3">
        <f t="shared" si="36"/>
        <v>0.91259126621006925</v>
      </c>
      <c r="M51" s="20">
        <f t="shared" si="32"/>
        <v>2.7668153638792364E-2</v>
      </c>
      <c r="N51" s="1"/>
      <c r="O51" s="18" t="s">
        <v>35</v>
      </c>
      <c r="P51" s="12">
        <v>900</v>
      </c>
    </row>
    <row r="52" spans="1:16" ht="15.5" customHeight="1" x14ac:dyDescent="0.2">
      <c r="B52" s="2">
        <f>(B42*B43*B44*B45*B46*B47*B48*B49*B50*B51)^1</f>
        <v>0.14055605287905093</v>
      </c>
      <c r="C52" s="2">
        <f t="shared" ref="C52:K52" si="38">(C42*C43*C44*C45*C46*C47*C48*C49*C50*C51)^1</f>
        <v>2.4959559637538935</v>
      </c>
      <c r="D52" s="2">
        <f t="shared" si="38"/>
        <v>0.8702860320000001</v>
      </c>
      <c r="E52" s="2">
        <f t="shared" si="38"/>
        <v>3.0087191926857996E-2</v>
      </c>
      <c r="F52" s="2">
        <f t="shared" si="38"/>
        <v>8.1051702797412872</v>
      </c>
      <c r="G52" s="2">
        <f t="shared" si="38"/>
        <v>2.4959559637538935</v>
      </c>
      <c r="H52" s="2">
        <f t="shared" si="38"/>
        <v>4.4205138545782257</v>
      </c>
      <c r="I52" s="2">
        <f t="shared" si="38"/>
        <v>0.33553293952185476</v>
      </c>
      <c r="J52" s="2">
        <f t="shared" si="38"/>
        <v>1.4535365616610258</v>
      </c>
      <c r="K52" s="2">
        <f t="shared" si="38"/>
        <v>2.4959559637538935</v>
      </c>
      <c r="L52" s="2">
        <f>SUM(B52:K52)</f>
        <v>22.843550803569983</v>
      </c>
      <c r="M52" s="2">
        <f t="shared" si="32"/>
        <v>0.69257607068008475</v>
      </c>
      <c r="N52" s="1"/>
      <c r="O52" s="1"/>
      <c r="P52" s="1"/>
    </row>
    <row r="53" spans="1:16" ht="15.5" customHeight="1" x14ac:dyDescent="0.2">
      <c r="N53" s="1"/>
      <c r="O53" s="1"/>
      <c r="P53" s="1"/>
    </row>
    <row r="54" spans="1:16" ht="15.5" customHeight="1" x14ac:dyDescent="0.2">
      <c r="B54" s="49">
        <f>B52/$L$52</f>
        <v>6.1529862011244279E-3</v>
      </c>
      <c r="C54" s="49">
        <f t="shared" ref="C54:K54" si="39">C52/$L$52</f>
        <v>0.1092630469411886</v>
      </c>
      <c r="D54" s="49">
        <f t="shared" si="39"/>
        <v>3.8097668768026734E-2</v>
      </c>
      <c r="E54" s="49">
        <f t="shared" si="39"/>
        <v>1.3170978621307849E-3</v>
      </c>
      <c r="F54" s="49">
        <f t="shared" si="39"/>
        <v>0.35481218963886357</v>
      </c>
      <c r="G54" s="49">
        <f t="shared" si="39"/>
        <v>0.1092630469411886</v>
      </c>
      <c r="H54" s="49">
        <f t="shared" si="39"/>
        <v>0.19351255383149055</v>
      </c>
      <c r="I54" s="49">
        <f t="shared" si="39"/>
        <v>1.4688300536421763E-2</v>
      </c>
      <c r="J54" s="49">
        <f t="shared" si="39"/>
        <v>6.3630062338376384E-2</v>
      </c>
      <c r="K54" s="49">
        <f t="shared" si="39"/>
        <v>0.1092630469411886</v>
      </c>
      <c r="N54" s="1"/>
      <c r="O54" s="1"/>
      <c r="P54" s="1"/>
    </row>
    <row r="60" spans="1:16" ht="15.5" customHeight="1" x14ac:dyDescent="0.2">
      <c r="A60" s="19" t="s">
        <v>20</v>
      </c>
      <c r="B60" s="1">
        <f>SUM(B42:B52)</f>
        <v>8.4738893862123845</v>
      </c>
      <c r="C60" s="1">
        <f t="shared" ref="C60:K60" si="40">SUM(C42:C51)</f>
        <v>11.111111111111112</v>
      </c>
      <c r="D60" s="1">
        <f t="shared" si="40"/>
        <v>10</v>
      </c>
      <c r="E60" s="1">
        <f t="shared" si="40"/>
        <v>7.1428571428571432</v>
      </c>
      <c r="F60" s="1">
        <f t="shared" si="40"/>
        <v>12.5</v>
      </c>
      <c r="G60" s="1">
        <f t="shared" si="40"/>
        <v>11.111111111111112</v>
      </c>
      <c r="H60" s="1">
        <f t="shared" si="40"/>
        <v>11.764705882352942</v>
      </c>
      <c r="I60" s="1">
        <f t="shared" si="40"/>
        <v>9.0909090909090917</v>
      </c>
      <c r="J60" s="1">
        <f t="shared" si="40"/>
        <v>10.526315789473683</v>
      </c>
      <c r="K60" s="1">
        <f t="shared" si="40"/>
        <v>11.111111111111112</v>
      </c>
      <c r="L60" s="1">
        <f>SUM(L42:L52)</f>
        <v>32.983453761459643</v>
      </c>
      <c r="M60" s="1"/>
    </row>
    <row r="61" spans="1:16" ht="15.5" customHeight="1" thickBot="1" x14ac:dyDescent="0.25">
      <c r="A61" s="1"/>
      <c r="B61" s="1">
        <f>B60*M42</f>
        <v>0.31260916460780819</v>
      </c>
      <c r="C61" s="1">
        <f>C60*M43</f>
        <v>0.30742392931991519</v>
      </c>
      <c r="D61" s="1">
        <f>D60*M44</f>
        <v>0.30742392931991513</v>
      </c>
      <c r="E61" s="1">
        <f>E60*M45</f>
        <v>0.30742392931991513</v>
      </c>
      <c r="F61" s="1">
        <f>F60*M46</f>
        <v>0.30742392931991513</v>
      </c>
      <c r="G61" s="1">
        <f>G60*M47</f>
        <v>0.30742392931991519</v>
      </c>
      <c r="H61" s="1">
        <f>H60*M48</f>
        <v>0.30742392931991513</v>
      </c>
      <c r="I61" s="1">
        <f>I60*M49</f>
        <v>0.30742392931991519</v>
      </c>
      <c r="J61" s="1">
        <f>J60*M50</f>
        <v>0.30742392931991513</v>
      </c>
      <c r="K61" s="1">
        <f>K60*M51</f>
        <v>0.30742392931991519</v>
      </c>
      <c r="L61" s="1">
        <f>SUM(B61:K61)</f>
        <v>3.0794245284870452</v>
      </c>
      <c r="M61" s="1"/>
    </row>
    <row r="62" spans="1:16" ht="15.5" customHeight="1" thickBot="1" x14ac:dyDescent="0.25">
      <c r="A62" s="9" t="s">
        <v>21</v>
      </c>
      <c r="B62" s="6">
        <f>(L61-10)/9</f>
        <v>-0.76895283016810601</v>
      </c>
      <c r="C62" s="1"/>
      <c r="D62" s="9" t="s">
        <v>22</v>
      </c>
      <c r="E62" s="6">
        <v>0</v>
      </c>
      <c r="F62" s="1"/>
      <c r="G62" s="1"/>
      <c r="H62" s="1"/>
      <c r="I62" s="1"/>
      <c r="J62" s="1"/>
      <c r="K62" s="1"/>
      <c r="L62" s="1"/>
      <c r="M6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EFF8-F713-41EC-87AB-C9DFA721ED6B}">
  <sheetPr codeName="Лист2"/>
  <dimension ref="A1:I12"/>
  <sheetViews>
    <sheetView zoomScale="60" zoomScaleNormal="60" workbookViewId="0">
      <selection activeCell="K13" sqref="K13"/>
    </sheetView>
  </sheetViews>
  <sheetFormatPr baseColWidth="10" defaultColWidth="20.1640625" defaultRowHeight="54.5" customHeight="1" x14ac:dyDescent="0.2"/>
  <cols>
    <col min="1" max="1" width="24.1640625" customWidth="1"/>
    <col min="3" max="3" width="19.83203125" customWidth="1"/>
    <col min="6" max="6" width="18.83203125" customWidth="1"/>
    <col min="7" max="7" width="6.5" customWidth="1"/>
    <col min="9" max="9" width="25.1640625" customWidth="1"/>
  </cols>
  <sheetData>
    <row r="1" spans="1:9" ht="31.75" customHeight="1" x14ac:dyDescent="0.2">
      <c r="A1" s="22" t="s">
        <v>36</v>
      </c>
      <c r="B1" s="22" t="s">
        <v>0</v>
      </c>
      <c r="C1" s="22" t="s">
        <v>1</v>
      </c>
      <c r="D1" s="22" t="s">
        <v>2</v>
      </c>
      <c r="E1" s="50" t="s">
        <v>37</v>
      </c>
    </row>
    <row r="2" spans="1:9" ht="16.75" customHeight="1" x14ac:dyDescent="0.2">
      <c r="A2" s="22" t="s">
        <v>38</v>
      </c>
      <c r="B2" s="14">
        <v>0.54693056493627257</v>
      </c>
      <c r="C2" s="14">
        <v>0.10852476926667511</v>
      </c>
      <c r="D2" s="14">
        <v>0.3445446657970524</v>
      </c>
      <c r="E2" s="50"/>
      <c r="G2" s="23" t="s">
        <v>39</v>
      </c>
      <c r="H2" s="18" t="s">
        <v>40</v>
      </c>
      <c r="I2" s="18" t="s">
        <v>41</v>
      </c>
    </row>
    <row r="3" spans="1:9" ht="54.5" customHeight="1" x14ac:dyDescent="0.2">
      <c r="A3" s="18" t="s">
        <v>26</v>
      </c>
      <c r="B3" s="13">
        <v>0.13089005235602094</v>
      </c>
      <c r="C3" s="14">
        <v>0.12500000000000003</v>
      </c>
      <c r="D3" s="14">
        <v>0.12000000000000001</v>
      </c>
      <c r="E3" s="24">
        <f>SUMPRODUCT($B$2:$D$2,B3:D3)</f>
        <v>0.12649872633359749</v>
      </c>
      <c r="G3" s="23">
        <v>1</v>
      </c>
      <c r="H3" s="18" t="s">
        <v>29</v>
      </c>
      <c r="I3" s="14">
        <v>0.15222903909157337</v>
      </c>
    </row>
    <row r="4" spans="1:9" ht="54.5" customHeight="1" x14ac:dyDescent="0.2">
      <c r="A4" s="18" t="s">
        <v>27</v>
      </c>
      <c r="B4" s="13">
        <v>9.1623036649214659E-2</v>
      </c>
      <c r="C4" s="14">
        <v>8.3333333333333343E-2</v>
      </c>
      <c r="D4" s="14">
        <v>0.09</v>
      </c>
      <c r="E4" s="24">
        <f>SUMPRODUCT($B$2:$D$2,B4:D4)</f>
        <v>9.0164189889689411E-2</v>
      </c>
      <c r="G4" s="23">
        <v>2</v>
      </c>
      <c r="H4" s="18" t="s">
        <v>26</v>
      </c>
      <c r="I4" s="14">
        <v>0.12649872633359749</v>
      </c>
    </row>
    <row r="5" spans="1:9" ht="54.5" customHeight="1" x14ac:dyDescent="0.2">
      <c r="A5" s="18" t="s">
        <v>28</v>
      </c>
      <c r="B5" s="13">
        <v>0.10471204188481675</v>
      </c>
      <c r="C5" s="14">
        <v>0.1</v>
      </c>
      <c r="D5" s="14">
        <v>0.1</v>
      </c>
      <c r="E5" s="24">
        <f t="shared" ref="E5:E12" si="0">SUMPRODUCT($B$2:$D$2,B5:D5)</f>
        <v>0.1025771597300662</v>
      </c>
      <c r="G5" s="23">
        <v>3</v>
      </c>
      <c r="H5" s="18" t="s">
        <v>33</v>
      </c>
      <c r="I5" s="14">
        <v>0.11408575649322072</v>
      </c>
    </row>
    <row r="6" spans="1:9" ht="54.5" customHeight="1" x14ac:dyDescent="0.2">
      <c r="A6" s="18" t="s">
        <v>29</v>
      </c>
      <c r="B6" s="13">
        <v>0.15706806282722513</v>
      </c>
      <c r="C6" s="14">
        <v>0.16666666666666669</v>
      </c>
      <c r="D6" s="14">
        <v>0.14000000000000001</v>
      </c>
      <c r="E6" s="24">
        <f t="shared" si="0"/>
        <v>0.15222903909157337</v>
      </c>
      <c r="G6" s="23">
        <v>4</v>
      </c>
      <c r="H6" s="18" t="s">
        <v>28</v>
      </c>
      <c r="I6" s="14">
        <v>0.1025771597300662</v>
      </c>
    </row>
    <row r="7" spans="1:9" ht="54.5" customHeight="1" x14ac:dyDescent="0.2">
      <c r="A7" s="18" t="s">
        <v>30</v>
      </c>
      <c r="B7" s="13">
        <v>6.5445026178010471E-2</v>
      </c>
      <c r="C7" s="14">
        <v>6.6666666666666666E-2</v>
      </c>
      <c r="D7" s="14">
        <v>0.08</v>
      </c>
      <c r="E7" s="24">
        <f t="shared" si="0"/>
        <v>7.0592443021350954E-2</v>
      </c>
      <c r="G7" s="23">
        <v>5</v>
      </c>
      <c r="H7" s="18" t="s">
        <v>34</v>
      </c>
      <c r="I7" s="14">
        <v>9.7538739051285128E-2</v>
      </c>
    </row>
    <row r="8" spans="1:9" ht="54.5" customHeight="1" x14ac:dyDescent="0.2">
      <c r="A8" s="18" t="s">
        <v>31</v>
      </c>
      <c r="B8" s="13">
        <v>7.8534031413612565E-2</v>
      </c>
      <c r="C8" s="14">
        <v>9.1666666666666688E-2</v>
      </c>
      <c r="D8" s="14">
        <v>0.09</v>
      </c>
      <c r="E8" s="24">
        <f t="shared" si="0"/>
        <v>8.3909785938950043E-2</v>
      </c>
      <c r="G8" s="23">
        <v>6</v>
      </c>
      <c r="H8" s="18" t="s">
        <v>27</v>
      </c>
      <c r="I8" s="14">
        <v>9.0164189889689411E-2</v>
      </c>
    </row>
    <row r="9" spans="1:9" ht="54.5" customHeight="1" x14ac:dyDescent="0.2">
      <c r="A9" s="18" t="s">
        <v>32</v>
      </c>
      <c r="B9" s="13">
        <v>7.06806282722513E-2</v>
      </c>
      <c r="C9" s="14">
        <v>7.5000000000000011E-2</v>
      </c>
      <c r="D9" s="14">
        <v>8.4999999999999992E-2</v>
      </c>
      <c r="E9" s="24">
        <f t="shared" si="0"/>
        <v>7.6083050238743163E-2</v>
      </c>
      <c r="G9" s="23">
        <v>7</v>
      </c>
      <c r="H9" s="18" t="s">
        <v>35</v>
      </c>
      <c r="I9" s="14">
        <v>8.6321110211523555E-2</v>
      </c>
    </row>
    <row r="10" spans="1:9" ht="54.5" customHeight="1" x14ac:dyDescent="0.2">
      <c r="A10" s="18" t="s">
        <v>33</v>
      </c>
      <c r="B10" s="13">
        <v>0.11780104712041886</v>
      </c>
      <c r="C10" s="14">
        <v>0.10833333333333335</v>
      </c>
      <c r="D10" s="14">
        <v>0.11000000000000001</v>
      </c>
      <c r="E10" s="24">
        <f t="shared" si="0"/>
        <v>0.11408575649322072</v>
      </c>
      <c r="G10" s="23">
        <v>8</v>
      </c>
      <c r="H10" s="18" t="s">
        <v>31</v>
      </c>
      <c r="I10" s="14">
        <v>8.3909785938950043E-2</v>
      </c>
    </row>
    <row r="11" spans="1:9" ht="62.5" customHeight="1" x14ac:dyDescent="0.2">
      <c r="A11" s="18" t="s">
        <v>34</v>
      </c>
      <c r="B11" s="13">
        <v>9.947643979057591E-2</v>
      </c>
      <c r="C11" s="14">
        <v>9.583333333333334E-2</v>
      </c>
      <c r="D11" s="14">
        <v>9.5000000000000001E-2</v>
      </c>
      <c r="E11" s="24">
        <f t="shared" si="0"/>
        <v>9.7538739051285128E-2</v>
      </c>
      <c r="G11" s="23">
        <v>9</v>
      </c>
      <c r="H11" s="18" t="s">
        <v>32</v>
      </c>
      <c r="I11" s="14">
        <v>7.6083050238743163E-2</v>
      </c>
    </row>
    <row r="12" spans="1:9" ht="54.5" customHeight="1" x14ac:dyDescent="0.2">
      <c r="A12" s="18" t="s">
        <v>35</v>
      </c>
      <c r="B12" s="13">
        <v>8.3769633507853408E-2</v>
      </c>
      <c r="C12" s="14">
        <v>8.7500000000000008E-2</v>
      </c>
      <c r="D12" s="14">
        <v>0.09</v>
      </c>
      <c r="E12" s="24">
        <f t="shared" si="0"/>
        <v>8.6321110211523555E-2</v>
      </c>
      <c r="G12" s="23">
        <v>10</v>
      </c>
      <c r="H12" s="18" t="s">
        <v>30</v>
      </c>
      <c r="I12" s="14">
        <v>7.0592443021350954E-2</v>
      </c>
    </row>
  </sheetData>
  <sortState xmlns:xlrd2="http://schemas.microsoft.com/office/spreadsheetml/2017/richdata2" ref="H3:I12">
    <sortCondition descending="1" ref="I3:I12"/>
  </sortState>
  <mergeCells count="1"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AC36-B52B-47CF-B28F-E16348AF62A8}">
  <sheetPr codeName="Лист3"/>
  <dimension ref="C2:I18"/>
  <sheetViews>
    <sheetView showGridLines="0" tabSelected="1" topLeftCell="B1" workbookViewId="0">
      <selection activeCell="I12" sqref="I12"/>
    </sheetView>
  </sheetViews>
  <sheetFormatPr baseColWidth="10" defaultColWidth="8.83203125" defaultRowHeight="15" x14ac:dyDescent="0.2"/>
  <cols>
    <col min="4" max="4" width="68.33203125" customWidth="1"/>
    <col min="5" max="5" width="13.83203125" customWidth="1"/>
    <col min="6" max="6" width="17.33203125" customWidth="1"/>
    <col min="7" max="7" width="13.83203125" customWidth="1"/>
    <col min="9" max="9" width="38.6640625" customWidth="1"/>
    <col min="10" max="10" width="10" bestFit="1" customWidth="1"/>
  </cols>
  <sheetData>
    <row r="2" spans="3:9" ht="16" x14ac:dyDescent="0.2">
      <c r="C2" s="51" t="s">
        <v>50</v>
      </c>
      <c r="D2" s="51"/>
      <c r="E2" s="51"/>
      <c r="F2" s="51"/>
      <c r="G2" s="51"/>
    </row>
    <row r="3" spans="3:9" ht="17" thickBot="1" x14ac:dyDescent="0.25">
      <c r="C3" s="52" t="s">
        <v>84</v>
      </c>
      <c r="D3" s="52"/>
      <c r="E3" s="52"/>
      <c r="F3" s="52"/>
      <c r="G3" s="52"/>
    </row>
    <row r="4" spans="3:9" ht="17" thickBot="1" x14ac:dyDescent="0.25">
      <c r="C4" s="53" t="s">
        <v>39</v>
      </c>
      <c r="D4" s="53" t="s">
        <v>71</v>
      </c>
      <c r="E4" s="55" t="s">
        <v>45</v>
      </c>
      <c r="F4" s="56"/>
      <c r="G4" s="57"/>
    </row>
    <row r="5" spans="3:9" ht="37.25" customHeight="1" thickBot="1" x14ac:dyDescent="0.25">
      <c r="C5" s="54"/>
      <c r="D5" s="54"/>
      <c r="E5" s="11" t="s">
        <v>46</v>
      </c>
      <c r="F5" s="11" t="s">
        <v>47</v>
      </c>
      <c r="G5" s="11" t="s">
        <v>48</v>
      </c>
    </row>
    <row r="6" spans="3:9" s="25" customFormat="1" ht="22.25" customHeight="1" thickBot="1" x14ac:dyDescent="0.25">
      <c r="C6" s="27">
        <v>1</v>
      </c>
      <c r="D6" s="11" t="s">
        <v>86</v>
      </c>
      <c r="E6" s="11">
        <v>6000000</v>
      </c>
      <c r="F6" s="11">
        <v>200</v>
      </c>
      <c r="G6" s="11">
        <v>1400</v>
      </c>
      <c r="I6" s="26"/>
    </row>
    <row r="7" spans="3:9" s="25" customFormat="1" ht="22.25" customHeight="1" thickBot="1" x14ac:dyDescent="0.25">
      <c r="C7" s="27">
        <v>2</v>
      </c>
      <c r="D7" s="11" t="s">
        <v>87</v>
      </c>
      <c r="E7" s="11">
        <v>5000000</v>
      </c>
      <c r="F7" s="11">
        <v>150</v>
      </c>
      <c r="G7" s="11">
        <v>1200</v>
      </c>
      <c r="I7" s="26"/>
    </row>
    <row r="8" spans="3:9" s="25" customFormat="1" ht="22.25" customHeight="1" thickBot="1" x14ac:dyDescent="0.25">
      <c r="C8" s="27">
        <v>3</v>
      </c>
      <c r="D8" s="11" t="s">
        <v>88</v>
      </c>
      <c r="E8" s="11">
        <v>4500000</v>
      </c>
      <c r="F8" s="11">
        <v>130</v>
      </c>
      <c r="G8" s="11">
        <v>1100</v>
      </c>
      <c r="I8" s="26"/>
    </row>
    <row r="9" spans="3:9" s="25" customFormat="1" ht="22.25" customHeight="1" thickBot="1" x14ac:dyDescent="0.25">
      <c r="C9" s="27">
        <v>4</v>
      </c>
      <c r="D9" s="11" t="s">
        <v>89</v>
      </c>
      <c r="E9" s="11">
        <v>4000000</v>
      </c>
      <c r="F9" s="11">
        <v>120</v>
      </c>
      <c r="G9" s="11">
        <v>1000</v>
      </c>
      <c r="I9" s="26"/>
    </row>
    <row r="10" spans="3:9" s="25" customFormat="1" ht="22.25" customHeight="1" thickBot="1" x14ac:dyDescent="0.25">
      <c r="C10" s="27">
        <v>5</v>
      </c>
      <c r="D10" s="11" t="s">
        <v>90</v>
      </c>
      <c r="E10" s="11">
        <v>3800000</v>
      </c>
      <c r="F10" s="11">
        <v>115</v>
      </c>
      <c r="G10" s="11">
        <v>950</v>
      </c>
      <c r="I10" s="26"/>
    </row>
    <row r="11" spans="3:9" s="25" customFormat="1" ht="22.25" customHeight="1" thickBot="1" x14ac:dyDescent="0.25">
      <c r="C11" s="27">
        <v>6</v>
      </c>
      <c r="D11" s="11" t="s">
        <v>91</v>
      </c>
      <c r="E11" s="11">
        <v>3500000</v>
      </c>
      <c r="F11" s="11">
        <v>100</v>
      </c>
      <c r="G11" s="11">
        <v>900</v>
      </c>
      <c r="I11" s="26"/>
    </row>
    <row r="12" spans="3:9" s="25" customFormat="1" ht="22.25" customHeight="1" thickBot="1" x14ac:dyDescent="0.25">
      <c r="C12" s="27">
        <v>7</v>
      </c>
      <c r="D12" s="11" t="s">
        <v>92</v>
      </c>
      <c r="E12" s="11">
        <v>3000000</v>
      </c>
      <c r="F12" s="11">
        <v>110</v>
      </c>
      <c r="G12" s="11">
        <v>900</v>
      </c>
      <c r="I12" s="26"/>
    </row>
    <row r="13" spans="3:9" s="25" customFormat="1" ht="22.25" customHeight="1" thickBot="1" x14ac:dyDescent="0.25">
      <c r="C13" s="27">
        <v>8</v>
      </c>
      <c r="D13" s="11" t="s">
        <v>93</v>
      </c>
      <c r="E13" s="11">
        <v>3200000</v>
      </c>
      <c r="F13" s="11">
        <v>105</v>
      </c>
      <c r="G13" s="11">
        <v>900</v>
      </c>
      <c r="I13" s="26"/>
    </row>
    <row r="14" spans="3:9" s="25" customFormat="1" ht="22.25" customHeight="1" thickBot="1" x14ac:dyDescent="0.25">
      <c r="C14" s="27">
        <v>9</v>
      </c>
      <c r="D14" s="11" t="s">
        <v>94</v>
      </c>
      <c r="E14" s="11">
        <v>2700000</v>
      </c>
      <c r="F14" s="11">
        <v>90</v>
      </c>
      <c r="G14" s="11">
        <v>850</v>
      </c>
      <c r="I14" s="26"/>
    </row>
    <row r="15" spans="3:9" s="25" customFormat="1" ht="22.25" customHeight="1" thickBot="1" x14ac:dyDescent="0.25">
      <c r="C15" s="27">
        <v>10</v>
      </c>
      <c r="D15" s="11" t="s">
        <v>95</v>
      </c>
      <c r="E15" s="11">
        <v>2500000</v>
      </c>
      <c r="F15" s="11">
        <v>80</v>
      </c>
      <c r="G15" s="11">
        <v>800</v>
      </c>
      <c r="I15" s="26"/>
    </row>
    <row r="17" spans="4:7" ht="18" thickBot="1" x14ac:dyDescent="0.25">
      <c r="D17" s="26" t="s">
        <v>63</v>
      </c>
      <c r="E17" s="28"/>
      <c r="F17" s="29"/>
      <c r="G17" s="28" t="s">
        <v>85</v>
      </c>
    </row>
    <row r="18" spans="4:7" x14ac:dyDescent="0.2">
      <c r="E18" s="30" t="s">
        <v>43</v>
      </c>
      <c r="F18" s="29"/>
      <c r="G18" s="30" t="s">
        <v>44</v>
      </c>
    </row>
  </sheetData>
  <mergeCells count="5">
    <mergeCell ref="C2:G2"/>
    <mergeCell ref="C3:G3"/>
    <mergeCell ref="C4:C5"/>
    <mergeCell ref="D4:D5"/>
    <mergeCell ref="E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29E7-8D3A-4D10-9B54-73C28E1A53C6}">
  <sheetPr codeName="Лист4"/>
  <dimension ref="C2:O24"/>
  <sheetViews>
    <sheetView topLeftCell="B13" workbookViewId="0">
      <selection activeCell="H10" sqref="H10"/>
    </sheetView>
  </sheetViews>
  <sheetFormatPr baseColWidth="10" defaultColWidth="8.83203125" defaultRowHeight="14" x14ac:dyDescent="0.15"/>
  <cols>
    <col min="1" max="2" width="8.83203125" style="29"/>
    <col min="3" max="3" width="11.83203125" style="29" customWidth="1"/>
    <col min="4" max="8" width="14.5" style="29" customWidth="1"/>
    <col min="9" max="9" width="8.83203125" style="29"/>
    <col min="10" max="10" width="13.1640625" style="29" customWidth="1"/>
    <col min="11" max="11" width="8.83203125" style="29"/>
    <col min="12" max="12" width="11" style="29" bestFit="1" customWidth="1"/>
    <col min="13" max="16384" width="8.83203125" style="29"/>
  </cols>
  <sheetData>
    <row r="2" spans="3:15" ht="85" x14ac:dyDescent="0.15">
      <c r="C2" s="37" t="s">
        <v>51</v>
      </c>
      <c r="D2" s="17" t="s">
        <v>29</v>
      </c>
      <c r="E2" s="17" t="s">
        <v>26</v>
      </c>
      <c r="F2" s="17" t="s">
        <v>33</v>
      </c>
      <c r="G2" s="17" t="s">
        <v>28</v>
      </c>
      <c r="H2" s="17" t="s">
        <v>34</v>
      </c>
      <c r="I2" s="38" t="s">
        <v>52</v>
      </c>
      <c r="J2" s="26"/>
      <c r="K2" s="26"/>
      <c r="L2" s="26"/>
    </row>
    <row r="3" spans="3:15" ht="34" x14ac:dyDescent="0.15">
      <c r="C3" s="37" t="s">
        <v>53</v>
      </c>
      <c r="D3" s="3">
        <v>600000000</v>
      </c>
      <c r="E3" s="3">
        <v>500000000</v>
      </c>
      <c r="F3" s="3">
        <v>450000000</v>
      </c>
      <c r="G3" s="3">
        <v>400000000</v>
      </c>
      <c r="H3" s="3">
        <v>380000000</v>
      </c>
      <c r="I3" s="32">
        <v>0.3</v>
      </c>
      <c r="J3" s="26"/>
      <c r="K3" s="26"/>
      <c r="L3" s="1"/>
      <c r="M3" s="1"/>
      <c r="N3" s="1"/>
    </row>
    <row r="4" spans="3:15" ht="34" x14ac:dyDescent="0.15">
      <c r="C4" s="18" t="s">
        <v>54</v>
      </c>
      <c r="D4" s="10">
        <v>320000000</v>
      </c>
      <c r="E4" s="10">
        <v>210000000</v>
      </c>
      <c r="F4" s="10">
        <v>215000000</v>
      </c>
      <c r="G4" s="10">
        <v>190000000</v>
      </c>
      <c r="H4" s="10">
        <v>145000000</v>
      </c>
      <c r="I4" s="31">
        <v>0.4</v>
      </c>
      <c r="J4" s="26"/>
      <c r="K4" s="26"/>
      <c r="L4" s="26"/>
      <c r="M4" s="26"/>
      <c r="N4" s="26"/>
    </row>
    <row r="5" spans="3:15" ht="34" x14ac:dyDescent="0.15">
      <c r="C5" s="18" t="s">
        <v>55</v>
      </c>
      <c r="D5" s="4">
        <v>280000</v>
      </c>
      <c r="E5" s="4">
        <v>180000</v>
      </c>
      <c r="F5" s="4">
        <v>143000</v>
      </c>
      <c r="G5" s="4">
        <v>120000</v>
      </c>
      <c r="H5" s="4">
        <v>109250</v>
      </c>
      <c r="I5" s="31">
        <v>0.2</v>
      </c>
      <c r="J5" s="26"/>
      <c r="K5" s="26"/>
      <c r="L5" s="26"/>
    </row>
    <row r="6" spans="3:15" ht="17" x14ac:dyDescent="0.15">
      <c r="C6" s="18" t="s">
        <v>56</v>
      </c>
      <c r="D6" s="4">
        <v>3</v>
      </c>
      <c r="E6" s="4">
        <v>3</v>
      </c>
      <c r="F6" s="4">
        <v>2</v>
      </c>
      <c r="G6" s="4">
        <v>1</v>
      </c>
      <c r="H6" s="4">
        <v>2</v>
      </c>
      <c r="I6" s="31">
        <v>0.1</v>
      </c>
      <c r="J6" s="26"/>
      <c r="K6" s="26"/>
      <c r="L6" s="26"/>
    </row>
    <row r="7" spans="3:15" ht="34" x14ac:dyDescent="0.15">
      <c r="C7" s="18" t="s">
        <v>57</v>
      </c>
      <c r="D7" s="4">
        <v>2</v>
      </c>
      <c r="E7" s="4">
        <v>3</v>
      </c>
      <c r="F7" s="4">
        <v>2</v>
      </c>
      <c r="G7" s="4">
        <v>1</v>
      </c>
      <c r="H7" s="4">
        <v>1</v>
      </c>
      <c r="I7" s="4"/>
      <c r="J7" s="26"/>
      <c r="K7" s="26"/>
      <c r="L7" s="26"/>
    </row>
    <row r="8" spans="3:15" ht="16" x14ac:dyDescent="0.15">
      <c r="E8" s="1"/>
      <c r="F8" s="1"/>
      <c r="G8" s="1"/>
      <c r="H8" s="1"/>
      <c r="I8" s="1"/>
      <c r="J8" s="1"/>
      <c r="K8" s="1"/>
      <c r="L8" s="1"/>
    </row>
    <row r="9" spans="3:15" x14ac:dyDescent="0.15">
      <c r="O9" s="29">
        <f>1-G12</f>
        <v>1</v>
      </c>
    </row>
    <row r="12" spans="3:15" ht="20" x14ac:dyDescent="0.25">
      <c r="C12" s="39" t="s">
        <v>65</v>
      </c>
      <c r="D12" s="33">
        <v>1</v>
      </c>
      <c r="E12" s="33">
        <v>1</v>
      </c>
      <c r="F12" s="33">
        <v>0</v>
      </c>
      <c r="G12" s="33">
        <v>0</v>
      </c>
      <c r="H12" s="33">
        <v>1</v>
      </c>
    </row>
    <row r="13" spans="3:15" x14ac:dyDescent="0.15">
      <c r="L13" s="35" t="s">
        <v>64</v>
      </c>
    </row>
    <row r="14" spans="3:15" ht="34" x14ac:dyDescent="0.15">
      <c r="C14" s="18" t="s">
        <v>53</v>
      </c>
      <c r="D14" s="33">
        <f>D3*D$12</f>
        <v>600000000</v>
      </c>
      <c r="E14" s="33">
        <f>E3*E$12</f>
        <v>500000000</v>
      </c>
      <c r="F14" s="33">
        <f>F3*F$12</f>
        <v>0</v>
      </c>
      <c r="G14" s="33">
        <f>G3*G$12</f>
        <v>0</v>
      </c>
      <c r="H14" s="33">
        <f>H3*H$12</f>
        <v>380000000</v>
      </c>
      <c r="I14" s="33" t="s">
        <v>58</v>
      </c>
      <c r="J14" s="34">
        <f>SUM(D14:H14)</f>
        <v>1480000000</v>
      </c>
      <c r="K14" s="29" t="s">
        <v>59</v>
      </c>
      <c r="L14" s="34">
        <f>1.3*10^9</f>
        <v>1300000000</v>
      </c>
    </row>
    <row r="15" spans="3:15" ht="34" x14ac:dyDescent="0.15">
      <c r="C15" s="18" t="s">
        <v>54</v>
      </c>
      <c r="D15" s="33">
        <f t="shared" ref="D15:H17" si="0">D4*D$12</f>
        <v>320000000</v>
      </c>
      <c r="E15" s="33">
        <f t="shared" si="0"/>
        <v>210000000</v>
      </c>
      <c r="F15" s="33">
        <f t="shared" si="0"/>
        <v>0</v>
      </c>
      <c r="G15" s="33">
        <f t="shared" si="0"/>
        <v>0</v>
      </c>
      <c r="H15" s="33">
        <f>H4*H$12</f>
        <v>145000000</v>
      </c>
      <c r="I15" s="33" t="s">
        <v>58</v>
      </c>
      <c r="J15" s="34">
        <f>SUM(D15:H15)</f>
        <v>675000000</v>
      </c>
      <c r="K15" s="29" t="s">
        <v>60</v>
      </c>
      <c r="L15" s="34">
        <v>700000000</v>
      </c>
    </row>
    <row r="16" spans="3:15" ht="34" x14ac:dyDescent="0.15">
      <c r="C16" s="18" t="s">
        <v>55</v>
      </c>
      <c r="D16" s="33">
        <f t="shared" si="0"/>
        <v>280000</v>
      </c>
      <c r="E16" s="33">
        <f t="shared" si="0"/>
        <v>180000</v>
      </c>
      <c r="F16" s="33">
        <f t="shared" si="0"/>
        <v>0</v>
      </c>
      <c r="G16" s="33">
        <f t="shared" si="0"/>
        <v>0</v>
      </c>
      <c r="H16" s="33">
        <f t="shared" si="0"/>
        <v>109250</v>
      </c>
      <c r="I16" s="33" t="s">
        <v>58</v>
      </c>
      <c r="J16" s="34">
        <f>SUM(D16:H16)</f>
        <v>569250</v>
      </c>
      <c r="K16" s="29" t="s">
        <v>60</v>
      </c>
      <c r="L16" s="34">
        <v>580000</v>
      </c>
    </row>
    <row r="17" spans="3:12" ht="17" x14ac:dyDescent="0.15">
      <c r="C17" s="18" t="s">
        <v>56</v>
      </c>
      <c r="D17" s="33">
        <f t="shared" si="0"/>
        <v>3</v>
      </c>
      <c r="E17" s="33">
        <f t="shared" si="0"/>
        <v>3</v>
      </c>
      <c r="F17" s="33">
        <f t="shared" si="0"/>
        <v>0</v>
      </c>
      <c r="G17" s="33">
        <f t="shared" si="0"/>
        <v>0</v>
      </c>
      <c r="H17" s="33">
        <f t="shared" si="0"/>
        <v>2</v>
      </c>
      <c r="I17" s="33" t="s">
        <v>58</v>
      </c>
      <c r="J17" s="34">
        <f>SUM(D17:H17)</f>
        <v>8</v>
      </c>
      <c r="K17" s="29" t="s">
        <v>60</v>
      </c>
      <c r="L17" s="34">
        <v>10</v>
      </c>
    </row>
    <row r="19" spans="3:12" ht="17" x14ac:dyDescent="0.15">
      <c r="C19" s="18" t="s">
        <v>61</v>
      </c>
      <c r="D19" s="36" t="s">
        <v>62</v>
      </c>
      <c r="E19" s="36" t="s">
        <v>52</v>
      </c>
      <c r="F19" s="33"/>
    </row>
    <row r="20" spans="3:12" ht="34" x14ac:dyDescent="0.15">
      <c r="C20" s="18" t="s">
        <v>53</v>
      </c>
      <c r="D20" s="33">
        <f>J14-L14</f>
        <v>180000000</v>
      </c>
      <c r="E20" s="33">
        <v>0.3</v>
      </c>
      <c r="F20" s="33">
        <f>E20*D20</f>
        <v>54000000</v>
      </c>
    </row>
    <row r="21" spans="3:12" ht="34" x14ac:dyDescent="0.15">
      <c r="C21" s="18" t="s">
        <v>54</v>
      </c>
      <c r="D21" s="33">
        <f>L15-J15</f>
        <v>25000000</v>
      </c>
      <c r="E21" s="33">
        <v>0.4</v>
      </c>
      <c r="F21" s="33">
        <f>E21*D21</f>
        <v>10000000</v>
      </c>
    </row>
    <row r="22" spans="3:12" ht="34" x14ac:dyDescent="0.15">
      <c r="C22" s="18" t="s">
        <v>55</v>
      </c>
      <c r="D22" s="33">
        <f>L16-J16</f>
        <v>10750</v>
      </c>
      <c r="E22" s="33">
        <v>0.2</v>
      </c>
      <c r="F22" s="33">
        <f>E22*D22</f>
        <v>2150</v>
      </c>
    </row>
    <row r="23" spans="3:12" ht="17" x14ac:dyDescent="0.15">
      <c r="C23" s="18" t="s">
        <v>56</v>
      </c>
      <c r="D23" s="33">
        <f>L17-J17</f>
        <v>2</v>
      </c>
      <c r="E23" s="33">
        <v>0.1</v>
      </c>
      <c r="F23" s="33">
        <f>E23*D23</f>
        <v>0.2</v>
      </c>
    </row>
    <row r="24" spans="3:12" x14ac:dyDescent="0.15">
      <c r="E24" s="35" t="s">
        <v>66</v>
      </c>
      <c r="F24" s="34">
        <f>SUM(F20:F23)</f>
        <v>64002150.200000003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A0EF-42ED-424A-AF5E-954E7939FF90}">
  <sheetPr codeName="Лист5"/>
  <dimension ref="B2:F11"/>
  <sheetViews>
    <sheetView showGridLines="0" workbookViewId="0">
      <selection activeCell="H15" sqref="H15"/>
    </sheetView>
  </sheetViews>
  <sheetFormatPr baseColWidth="10" defaultColWidth="8.83203125" defaultRowHeight="15" x14ac:dyDescent="0.2"/>
  <cols>
    <col min="2" max="2" width="6.83203125" customWidth="1"/>
    <col min="3" max="3" width="64.1640625" customWidth="1"/>
    <col min="4" max="4" width="18.83203125" customWidth="1"/>
    <col min="5" max="5" width="19.83203125" customWidth="1"/>
    <col min="6" max="6" width="16.83203125" customWidth="1"/>
  </cols>
  <sheetData>
    <row r="2" spans="2:6" ht="19.25" customHeight="1" x14ac:dyDescent="0.2">
      <c r="B2" s="51" t="s">
        <v>50</v>
      </c>
      <c r="C2" s="51"/>
      <c r="D2" s="51"/>
      <c r="E2" s="51"/>
      <c r="F2" s="51"/>
    </row>
    <row r="3" spans="2:6" ht="17" thickBot="1" x14ac:dyDescent="0.25">
      <c r="B3" s="52" t="s">
        <v>70</v>
      </c>
      <c r="C3" s="52"/>
      <c r="D3" s="52"/>
      <c r="E3" s="52"/>
      <c r="F3" s="52"/>
    </row>
    <row r="4" spans="2:6" ht="17" thickBot="1" x14ac:dyDescent="0.25">
      <c r="B4" s="53" t="s">
        <v>39</v>
      </c>
      <c r="C4" s="53" t="s">
        <v>71</v>
      </c>
      <c r="D4" s="55" t="s">
        <v>45</v>
      </c>
      <c r="E4" s="56"/>
      <c r="F4" s="57"/>
    </row>
    <row r="5" spans="2:6" ht="33" customHeight="1" thickBot="1" x14ac:dyDescent="0.25">
      <c r="B5" s="54"/>
      <c r="C5" s="54"/>
      <c r="D5" s="11" t="s">
        <v>67</v>
      </c>
      <c r="E5" s="11" t="s">
        <v>68</v>
      </c>
      <c r="F5" s="11" t="s">
        <v>69</v>
      </c>
    </row>
    <row r="6" spans="2:6" ht="19.25" customHeight="1" thickBot="1" x14ac:dyDescent="0.25">
      <c r="B6" s="27">
        <v>1</v>
      </c>
      <c r="C6" s="11" t="s">
        <v>29</v>
      </c>
      <c r="D6" s="40">
        <v>280000</v>
      </c>
      <c r="E6" s="40">
        <v>320000000</v>
      </c>
      <c r="F6" s="40">
        <v>600000000</v>
      </c>
    </row>
    <row r="7" spans="2:6" ht="19.25" customHeight="1" thickBot="1" x14ac:dyDescent="0.25">
      <c r="B7" s="27">
        <v>2</v>
      </c>
      <c r="C7" s="11" t="s">
        <v>26</v>
      </c>
      <c r="D7" s="40">
        <v>180000</v>
      </c>
      <c r="E7" s="40">
        <v>210000000</v>
      </c>
      <c r="F7" s="40">
        <v>500000000</v>
      </c>
    </row>
    <row r="8" spans="2:6" ht="19.25" customHeight="1" thickBot="1" x14ac:dyDescent="0.25">
      <c r="B8" s="27">
        <v>5</v>
      </c>
      <c r="C8" s="11" t="s">
        <v>34</v>
      </c>
      <c r="D8" s="40">
        <v>109250</v>
      </c>
      <c r="E8" s="40">
        <v>145000000</v>
      </c>
      <c r="F8" s="40">
        <v>380000000</v>
      </c>
    </row>
    <row r="9" spans="2:6" ht="14.5" customHeight="1" x14ac:dyDescent="0.2"/>
    <row r="10" spans="2:6" ht="22.75" customHeight="1" thickBot="1" x14ac:dyDescent="0.25">
      <c r="C10" s="26" t="s">
        <v>63</v>
      </c>
      <c r="D10" s="28"/>
      <c r="E10" s="29"/>
      <c r="F10" s="28" t="s">
        <v>49</v>
      </c>
    </row>
    <row r="11" spans="2:6" x14ac:dyDescent="0.2">
      <c r="D11" s="30" t="s">
        <v>43</v>
      </c>
      <c r="E11" s="29"/>
      <c r="F11" s="30" t="s">
        <v>44</v>
      </c>
    </row>
  </sheetData>
  <mergeCells count="5">
    <mergeCell ref="B2:F2"/>
    <mergeCell ref="B3:F3"/>
    <mergeCell ref="B4:B5"/>
    <mergeCell ref="C4:C5"/>
    <mergeCell ref="D4:F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5FDD-8FFF-4B07-87F9-18D58B9CD5FF}">
  <dimension ref="A1:T35"/>
  <sheetViews>
    <sheetView workbookViewId="0">
      <selection activeCell="R40" sqref="R40"/>
    </sheetView>
  </sheetViews>
  <sheetFormatPr baseColWidth="10" defaultColWidth="8.83203125" defaultRowHeight="15" x14ac:dyDescent="0.2"/>
  <sheetData>
    <row r="1" spans="1:20" ht="16" thickBot="1" x14ac:dyDescent="0.25">
      <c r="A1" s="41" t="s">
        <v>72</v>
      </c>
      <c r="B1" s="42" t="s">
        <v>73</v>
      </c>
      <c r="C1" s="42" t="s">
        <v>74</v>
      </c>
      <c r="D1" s="42" t="s">
        <v>75</v>
      </c>
      <c r="E1" s="42" t="s">
        <v>76</v>
      </c>
      <c r="F1" s="42" t="s">
        <v>77</v>
      </c>
      <c r="G1" s="42" t="s">
        <v>78</v>
      </c>
      <c r="H1" s="42" t="s">
        <v>79</v>
      </c>
      <c r="I1" s="42" t="s">
        <v>80</v>
      </c>
      <c r="J1" s="42" t="s">
        <v>81</v>
      </c>
      <c r="K1" s="42" t="s">
        <v>82</v>
      </c>
      <c r="L1" s="42" t="s">
        <v>83</v>
      </c>
      <c r="Q1" s="41" t="s">
        <v>72</v>
      </c>
      <c r="R1" s="42" t="s">
        <v>78</v>
      </c>
      <c r="S1" s="42" t="s">
        <v>81</v>
      </c>
      <c r="T1" s="42" t="s">
        <v>83</v>
      </c>
    </row>
    <row r="2" spans="1:20" ht="16" thickBot="1" x14ac:dyDescent="0.25">
      <c r="A2" s="43">
        <v>457</v>
      </c>
      <c r="B2" s="44">
        <v>36</v>
      </c>
      <c r="C2" s="44">
        <v>4568</v>
      </c>
      <c r="D2" s="46">
        <v>15.4734</v>
      </c>
      <c r="E2" s="44">
        <v>3</v>
      </c>
      <c r="F2" s="44">
        <v>7680</v>
      </c>
      <c r="G2" s="44">
        <v>564</v>
      </c>
      <c r="H2" s="44">
        <v>23249</v>
      </c>
      <c r="I2" s="47">
        <v>26</v>
      </c>
      <c r="J2" s="46">
        <v>3.4994999999999998</v>
      </c>
      <c r="K2" s="44">
        <v>754390</v>
      </c>
      <c r="L2" s="44">
        <v>760985</v>
      </c>
      <c r="Q2" s="43">
        <v>457</v>
      </c>
      <c r="R2" s="44">
        <v>564</v>
      </c>
      <c r="S2" s="46">
        <v>3.4994999999999998</v>
      </c>
      <c r="T2" s="44">
        <v>760985</v>
      </c>
    </row>
    <row r="3" spans="1:20" ht="16" thickBot="1" x14ac:dyDescent="0.25">
      <c r="A3" s="43">
        <v>547</v>
      </c>
      <c r="B3" s="44">
        <v>46</v>
      </c>
      <c r="C3" s="44">
        <v>5468</v>
      </c>
      <c r="D3" s="46">
        <v>21.8904</v>
      </c>
      <c r="E3" s="44">
        <v>4</v>
      </c>
      <c r="F3" s="44">
        <v>15640</v>
      </c>
      <c r="G3" s="44">
        <v>780</v>
      </c>
      <c r="H3" s="44">
        <v>34567</v>
      </c>
      <c r="I3" s="47">
        <v>30</v>
      </c>
      <c r="J3" s="46">
        <v>5.4523000000000001</v>
      </c>
      <c r="K3" s="44">
        <v>789050</v>
      </c>
      <c r="L3" s="44">
        <v>786980</v>
      </c>
      <c r="Q3" s="43">
        <v>547</v>
      </c>
      <c r="R3" s="44">
        <v>780</v>
      </c>
      <c r="S3" s="46">
        <v>5.4523000000000001</v>
      </c>
      <c r="T3" s="44">
        <v>786980</v>
      </c>
    </row>
    <row r="4" spans="1:20" ht="16" thickBot="1" x14ac:dyDescent="0.25">
      <c r="A4" s="43">
        <v>647</v>
      </c>
      <c r="B4" s="44">
        <v>62</v>
      </c>
      <c r="C4" s="44">
        <v>6468</v>
      </c>
      <c r="D4" s="46">
        <v>20.493500000000001</v>
      </c>
      <c r="E4" s="44">
        <v>4</v>
      </c>
      <c r="F4" s="44">
        <v>27650</v>
      </c>
      <c r="G4" s="44">
        <v>2430</v>
      </c>
      <c r="H4" s="44">
        <v>75000</v>
      </c>
      <c r="I4" s="47">
        <v>75</v>
      </c>
      <c r="J4" s="46">
        <v>2.3243999999999998</v>
      </c>
      <c r="K4" s="44">
        <v>145890</v>
      </c>
      <c r="L4" s="44">
        <v>130045</v>
      </c>
      <c r="Q4" s="43">
        <v>647</v>
      </c>
      <c r="R4" s="44">
        <v>2430</v>
      </c>
      <c r="S4" s="46">
        <v>2.3243999999999998</v>
      </c>
      <c r="T4" s="44">
        <v>130045</v>
      </c>
    </row>
    <row r="5" spans="1:20" ht="16" thickBot="1" x14ac:dyDescent="0.25">
      <c r="A5" s="43">
        <v>499</v>
      </c>
      <c r="B5" s="44">
        <v>43</v>
      </c>
      <c r="C5" s="44">
        <v>4988</v>
      </c>
      <c r="D5" s="46">
        <v>15.9878</v>
      </c>
      <c r="E5" s="44">
        <v>3</v>
      </c>
      <c r="F5" s="44">
        <v>20340</v>
      </c>
      <c r="G5" s="44">
        <v>2044</v>
      </c>
      <c r="H5" s="44">
        <v>56832</v>
      </c>
      <c r="I5" s="47">
        <v>59</v>
      </c>
      <c r="J5" s="46">
        <v>2.4243999999999999</v>
      </c>
      <c r="K5" s="44">
        <v>567870</v>
      </c>
      <c r="L5" s="44">
        <v>580789</v>
      </c>
      <c r="Q5" s="43">
        <v>499</v>
      </c>
      <c r="R5" s="44">
        <v>2044</v>
      </c>
      <c r="S5" s="46">
        <v>2.4243999999999999</v>
      </c>
      <c r="T5" s="44">
        <v>580789</v>
      </c>
    </row>
    <row r="6" spans="1:20" ht="16" thickBot="1" x14ac:dyDescent="0.25">
      <c r="A6" s="43">
        <v>476</v>
      </c>
      <c r="B6" s="44">
        <v>37</v>
      </c>
      <c r="C6" s="44">
        <v>4759</v>
      </c>
      <c r="D6" s="46">
        <v>15.677300000000001</v>
      </c>
      <c r="E6" s="44">
        <v>3</v>
      </c>
      <c r="F6" s="44">
        <v>13040</v>
      </c>
      <c r="G6" s="44">
        <v>1158</v>
      </c>
      <c r="H6" s="44">
        <v>45546</v>
      </c>
      <c r="I6" s="47">
        <v>40</v>
      </c>
      <c r="J6" s="46">
        <v>5.4321000000000002</v>
      </c>
      <c r="K6" s="44">
        <v>947860</v>
      </c>
      <c r="L6" s="44">
        <v>1034568</v>
      </c>
      <c r="Q6" s="43">
        <v>476</v>
      </c>
      <c r="R6" s="44">
        <v>1158</v>
      </c>
      <c r="S6" s="46">
        <v>5.4321000000000002</v>
      </c>
      <c r="T6" s="44">
        <v>1034568</v>
      </c>
    </row>
    <row r="7" spans="1:20" ht="16" thickBot="1" x14ac:dyDescent="0.25">
      <c r="A7" s="43">
        <v>523</v>
      </c>
      <c r="B7" s="44">
        <v>46</v>
      </c>
      <c r="C7" s="44">
        <v>5221</v>
      </c>
      <c r="D7" s="46">
        <v>16.8093</v>
      </c>
      <c r="E7" s="44">
        <v>3</v>
      </c>
      <c r="F7" s="44">
        <v>18780</v>
      </c>
      <c r="G7" s="44">
        <v>1560</v>
      </c>
      <c r="H7" s="44">
        <v>23456</v>
      </c>
      <c r="I7" s="47">
        <v>20</v>
      </c>
      <c r="J7" s="46">
        <v>2.4451000000000001</v>
      </c>
      <c r="K7" s="44">
        <v>435670</v>
      </c>
      <c r="L7" s="44">
        <v>487905</v>
      </c>
      <c r="Q7" s="43">
        <v>523</v>
      </c>
      <c r="R7" s="44">
        <v>1560</v>
      </c>
      <c r="S7" s="46">
        <v>2.4451000000000001</v>
      </c>
      <c r="T7" s="44">
        <v>487905</v>
      </c>
    </row>
    <row r="8" spans="1:20" ht="16" thickBot="1" x14ac:dyDescent="0.25">
      <c r="A8" s="43">
        <v>644</v>
      </c>
      <c r="B8" s="44">
        <v>61</v>
      </c>
      <c r="C8" s="44">
        <v>6438</v>
      </c>
      <c r="D8" s="46">
        <v>21.9894</v>
      </c>
      <c r="E8" s="44">
        <v>4</v>
      </c>
      <c r="F8" s="44">
        <v>32100</v>
      </c>
      <c r="G8" s="44">
        <v>2904</v>
      </c>
      <c r="H8" s="44">
        <v>85000</v>
      </c>
      <c r="I8" s="47">
        <v>85</v>
      </c>
      <c r="J8" s="46">
        <v>5.01</v>
      </c>
      <c r="K8" s="44">
        <v>680000</v>
      </c>
      <c r="L8" s="44">
        <v>389678</v>
      </c>
      <c r="Q8" s="43">
        <v>644</v>
      </c>
      <c r="R8" s="44">
        <v>2904</v>
      </c>
      <c r="S8" s="46">
        <v>5.01</v>
      </c>
      <c r="T8" s="44">
        <v>389678</v>
      </c>
    </row>
    <row r="9" spans="1:20" ht="16" thickBot="1" x14ac:dyDescent="0.25">
      <c r="A9" s="43">
        <v>591</v>
      </c>
      <c r="B9" s="44">
        <v>51</v>
      </c>
      <c r="C9" s="44">
        <v>5908</v>
      </c>
      <c r="D9" s="46">
        <v>18.967300000000002</v>
      </c>
      <c r="E9" s="44">
        <v>4</v>
      </c>
      <c r="F9" s="44">
        <v>29890</v>
      </c>
      <c r="G9" s="44">
        <v>2567</v>
      </c>
      <c r="H9" s="44">
        <v>108889</v>
      </c>
      <c r="I9" s="47">
        <v>95</v>
      </c>
      <c r="J9" s="44">
        <v>6.01</v>
      </c>
      <c r="K9" s="44">
        <v>980000</v>
      </c>
      <c r="L9" s="44">
        <v>803670</v>
      </c>
      <c r="Q9" s="43">
        <v>591</v>
      </c>
      <c r="R9" s="44">
        <v>2567</v>
      </c>
      <c r="S9" s="44">
        <v>6.01</v>
      </c>
      <c r="T9" s="44">
        <v>803670</v>
      </c>
    </row>
    <row r="10" spans="1:20" x14ac:dyDescent="0.2">
      <c r="D10" s="45"/>
    </row>
    <row r="11" spans="1:20" x14ac:dyDescent="0.2">
      <c r="D11" s="45"/>
    </row>
    <row r="12" spans="1:20" x14ac:dyDescent="0.2">
      <c r="D12" s="45"/>
    </row>
    <row r="13" spans="1:20" x14ac:dyDescent="0.2">
      <c r="D13" s="45"/>
    </row>
    <row r="14" spans="1:20" ht="16" thickBot="1" x14ac:dyDescent="0.25">
      <c r="D14" s="45"/>
    </row>
    <row r="15" spans="1:20" ht="16" thickBot="1" x14ac:dyDescent="0.25">
      <c r="A15" s="42" t="s">
        <v>78</v>
      </c>
      <c r="B15" s="41" t="s">
        <v>72</v>
      </c>
      <c r="C15" s="42" t="s">
        <v>73</v>
      </c>
      <c r="D15" s="42" t="s">
        <v>74</v>
      </c>
      <c r="E15" s="42" t="s">
        <v>75</v>
      </c>
      <c r="F15" s="42" t="s">
        <v>76</v>
      </c>
      <c r="G15" s="42" t="s">
        <v>77</v>
      </c>
      <c r="H15" s="42" t="s">
        <v>79</v>
      </c>
      <c r="I15" s="42" t="s">
        <v>80</v>
      </c>
      <c r="J15" s="42" t="s">
        <v>81</v>
      </c>
      <c r="K15" s="42" t="s">
        <v>82</v>
      </c>
      <c r="L15" s="42" t="s">
        <v>83</v>
      </c>
      <c r="Q15" s="41" t="s">
        <v>78</v>
      </c>
      <c r="R15" s="42" t="s">
        <v>73</v>
      </c>
      <c r="S15" s="42" t="s">
        <v>83</v>
      </c>
    </row>
    <row r="16" spans="1:20" ht="16" thickBot="1" x14ac:dyDescent="0.25">
      <c r="A16" s="44">
        <v>564</v>
      </c>
      <c r="B16" s="43">
        <v>457</v>
      </c>
      <c r="C16" s="44">
        <v>36</v>
      </c>
      <c r="D16" s="44">
        <v>4568</v>
      </c>
      <c r="E16" s="46">
        <v>15.4734</v>
      </c>
      <c r="F16" s="44">
        <v>3</v>
      </c>
      <c r="G16" s="44">
        <v>7680</v>
      </c>
      <c r="H16" s="44">
        <v>23249</v>
      </c>
      <c r="I16" s="47">
        <v>26</v>
      </c>
      <c r="J16" s="46">
        <v>3.4994999999999998</v>
      </c>
      <c r="K16" s="44">
        <v>754390</v>
      </c>
      <c r="L16" s="44">
        <v>760985</v>
      </c>
      <c r="Q16" s="43">
        <v>564</v>
      </c>
      <c r="R16" s="44">
        <v>36</v>
      </c>
      <c r="S16" s="44">
        <v>760985</v>
      </c>
    </row>
    <row r="17" spans="1:20" ht="16" thickBot="1" x14ac:dyDescent="0.25">
      <c r="A17" s="44">
        <v>780</v>
      </c>
      <c r="B17" s="43">
        <v>547</v>
      </c>
      <c r="C17" s="44">
        <v>46</v>
      </c>
      <c r="D17" s="44">
        <v>5468</v>
      </c>
      <c r="E17" s="46">
        <v>21.8904</v>
      </c>
      <c r="F17" s="44">
        <v>4</v>
      </c>
      <c r="G17" s="44">
        <v>15640</v>
      </c>
      <c r="H17" s="44">
        <v>34567</v>
      </c>
      <c r="I17" s="47">
        <v>30</v>
      </c>
      <c r="J17" s="46">
        <v>5.4523000000000001</v>
      </c>
      <c r="K17" s="44">
        <v>789050</v>
      </c>
      <c r="L17" s="44">
        <v>786980</v>
      </c>
      <c r="Q17" s="43">
        <v>780</v>
      </c>
      <c r="R17" s="44">
        <v>46</v>
      </c>
      <c r="S17" s="44">
        <v>786980</v>
      </c>
    </row>
    <row r="18" spans="1:20" ht="16" thickBot="1" x14ac:dyDescent="0.25">
      <c r="A18" s="44">
        <v>2430</v>
      </c>
      <c r="B18" s="43">
        <v>647</v>
      </c>
      <c r="C18" s="44">
        <v>62</v>
      </c>
      <c r="D18" s="44">
        <v>6468</v>
      </c>
      <c r="E18" s="46">
        <v>20.493500000000001</v>
      </c>
      <c r="F18" s="44">
        <v>4</v>
      </c>
      <c r="G18" s="44">
        <v>27650</v>
      </c>
      <c r="H18" s="44">
        <v>75000</v>
      </c>
      <c r="I18" s="47">
        <v>75</v>
      </c>
      <c r="J18" s="46">
        <v>2.3243999999999998</v>
      </c>
      <c r="K18" s="44">
        <v>145890</v>
      </c>
      <c r="L18" s="44">
        <v>130045</v>
      </c>
      <c r="Q18" s="43">
        <v>2430</v>
      </c>
      <c r="R18" s="44">
        <v>62</v>
      </c>
      <c r="S18" s="44">
        <v>130045</v>
      </c>
    </row>
    <row r="19" spans="1:20" ht="16" thickBot="1" x14ac:dyDescent="0.25">
      <c r="A19" s="44">
        <v>2044</v>
      </c>
      <c r="B19" s="43">
        <v>499</v>
      </c>
      <c r="C19" s="44">
        <v>43</v>
      </c>
      <c r="D19" s="44">
        <v>4988</v>
      </c>
      <c r="E19" s="46">
        <v>15.9878</v>
      </c>
      <c r="F19" s="44">
        <v>3</v>
      </c>
      <c r="G19" s="44">
        <v>20340</v>
      </c>
      <c r="H19" s="44">
        <v>56832</v>
      </c>
      <c r="I19" s="47">
        <v>59</v>
      </c>
      <c r="J19" s="46">
        <v>2.4243999999999999</v>
      </c>
      <c r="K19" s="44">
        <v>567870</v>
      </c>
      <c r="L19" s="44">
        <v>580789</v>
      </c>
      <c r="Q19" s="43">
        <v>2044</v>
      </c>
      <c r="R19" s="44">
        <v>43</v>
      </c>
      <c r="S19" s="44">
        <v>580789</v>
      </c>
    </row>
    <row r="20" spans="1:20" ht="16" thickBot="1" x14ac:dyDescent="0.25">
      <c r="A20" s="44">
        <v>1158</v>
      </c>
      <c r="B20" s="43">
        <v>476</v>
      </c>
      <c r="C20" s="44">
        <v>37</v>
      </c>
      <c r="D20" s="44">
        <v>4759</v>
      </c>
      <c r="E20" s="46">
        <v>15.677300000000001</v>
      </c>
      <c r="F20" s="44">
        <v>3</v>
      </c>
      <c r="G20" s="44">
        <v>13040</v>
      </c>
      <c r="H20" s="44">
        <v>45546</v>
      </c>
      <c r="I20" s="47">
        <v>40</v>
      </c>
      <c r="J20" s="46">
        <v>5.4321000000000002</v>
      </c>
      <c r="K20" s="44">
        <v>947860</v>
      </c>
      <c r="L20" s="44">
        <v>1034568</v>
      </c>
      <c r="Q20" s="43">
        <v>1158</v>
      </c>
      <c r="R20" s="44">
        <v>37</v>
      </c>
      <c r="S20" s="44">
        <v>1034568</v>
      </c>
    </row>
    <row r="21" spans="1:20" ht="16" thickBot="1" x14ac:dyDescent="0.25">
      <c r="A21" s="44">
        <v>1560</v>
      </c>
      <c r="B21" s="43">
        <v>523</v>
      </c>
      <c r="C21" s="44">
        <v>46</v>
      </c>
      <c r="D21" s="44">
        <v>5221</v>
      </c>
      <c r="E21" s="46">
        <v>16.8093</v>
      </c>
      <c r="F21" s="44">
        <v>3</v>
      </c>
      <c r="G21" s="44">
        <v>18780</v>
      </c>
      <c r="H21" s="44">
        <v>23456</v>
      </c>
      <c r="I21" s="47">
        <v>20</v>
      </c>
      <c r="J21" s="46">
        <v>2.4451000000000001</v>
      </c>
      <c r="K21" s="44">
        <v>435670</v>
      </c>
      <c r="L21" s="44">
        <v>487905</v>
      </c>
      <c r="Q21" s="43">
        <v>1560</v>
      </c>
      <c r="R21" s="44">
        <v>46</v>
      </c>
      <c r="S21" s="44">
        <v>487905</v>
      </c>
    </row>
    <row r="22" spans="1:20" ht="16" thickBot="1" x14ac:dyDescent="0.25">
      <c r="A22" s="44">
        <v>2904</v>
      </c>
      <c r="B22" s="43">
        <v>644</v>
      </c>
      <c r="C22" s="44">
        <v>61</v>
      </c>
      <c r="D22" s="44">
        <v>6438</v>
      </c>
      <c r="E22" s="46">
        <v>21.9894</v>
      </c>
      <c r="F22" s="44">
        <v>4</v>
      </c>
      <c r="G22" s="44">
        <v>32100</v>
      </c>
      <c r="H22" s="44">
        <v>85000</v>
      </c>
      <c r="I22" s="47">
        <v>85</v>
      </c>
      <c r="J22" s="46">
        <v>5.01</v>
      </c>
      <c r="K22" s="44">
        <v>680000</v>
      </c>
      <c r="L22" s="44">
        <v>389678</v>
      </c>
      <c r="Q22" s="43">
        <v>2904</v>
      </c>
      <c r="R22" s="44">
        <v>61</v>
      </c>
      <c r="S22" s="44">
        <v>389678</v>
      </c>
    </row>
    <row r="23" spans="1:20" ht="16" thickBot="1" x14ac:dyDescent="0.25">
      <c r="A23" s="44">
        <v>2567</v>
      </c>
      <c r="B23" s="43">
        <v>591</v>
      </c>
      <c r="C23" s="44">
        <v>51</v>
      </c>
      <c r="D23" s="44">
        <v>5908</v>
      </c>
      <c r="E23" s="46">
        <v>18.967300000000002</v>
      </c>
      <c r="F23" s="44">
        <v>4</v>
      </c>
      <c r="G23" s="44">
        <v>29890</v>
      </c>
      <c r="H23" s="44">
        <v>108889</v>
      </c>
      <c r="I23" s="47">
        <v>95</v>
      </c>
      <c r="J23" s="44">
        <v>6.01</v>
      </c>
      <c r="K23" s="44">
        <v>980000</v>
      </c>
      <c r="L23" s="44">
        <v>803670</v>
      </c>
      <c r="Q23" s="43">
        <v>2567</v>
      </c>
      <c r="R23" s="44">
        <v>51</v>
      </c>
      <c r="S23" s="44">
        <v>803670</v>
      </c>
    </row>
    <row r="26" spans="1:20" ht="16" thickBot="1" x14ac:dyDescent="0.25"/>
    <row r="27" spans="1:20" ht="16" thickBot="1" x14ac:dyDescent="0.25">
      <c r="A27" s="42" t="s">
        <v>82</v>
      </c>
      <c r="B27" s="41" t="s">
        <v>72</v>
      </c>
      <c r="C27" s="42" t="s">
        <v>73</v>
      </c>
      <c r="D27" s="42" t="s">
        <v>74</v>
      </c>
      <c r="E27" s="42" t="s">
        <v>75</v>
      </c>
      <c r="F27" s="42" t="s">
        <v>76</v>
      </c>
      <c r="G27" s="42" t="s">
        <v>77</v>
      </c>
      <c r="H27" s="42" t="s">
        <v>78</v>
      </c>
      <c r="I27" s="42" t="s">
        <v>79</v>
      </c>
      <c r="J27" s="42" t="s">
        <v>80</v>
      </c>
      <c r="K27" s="42" t="s">
        <v>81</v>
      </c>
      <c r="L27" s="42" t="s">
        <v>83</v>
      </c>
      <c r="Q27" s="41" t="s">
        <v>82</v>
      </c>
      <c r="R27" s="42" t="s">
        <v>77</v>
      </c>
      <c r="S27" s="42" t="s">
        <v>78</v>
      </c>
      <c r="T27" s="42" t="s">
        <v>81</v>
      </c>
    </row>
    <row r="28" spans="1:20" ht="16" thickBot="1" x14ac:dyDescent="0.25">
      <c r="A28" s="44">
        <v>754390</v>
      </c>
      <c r="B28" s="43">
        <v>457</v>
      </c>
      <c r="C28" s="44">
        <v>36</v>
      </c>
      <c r="D28" s="44">
        <v>4568</v>
      </c>
      <c r="E28" s="46">
        <v>15.4734</v>
      </c>
      <c r="F28" s="44">
        <v>3</v>
      </c>
      <c r="G28" s="44">
        <v>7680</v>
      </c>
      <c r="H28" s="44">
        <v>564</v>
      </c>
      <c r="I28" s="44">
        <v>23249</v>
      </c>
      <c r="J28" s="47">
        <v>26</v>
      </c>
      <c r="K28" s="46">
        <v>3.4994999999999998</v>
      </c>
      <c r="L28" s="44">
        <v>760985</v>
      </c>
      <c r="Q28" s="43">
        <v>754390</v>
      </c>
      <c r="R28" s="44">
        <v>7680</v>
      </c>
      <c r="S28" s="44">
        <v>564</v>
      </c>
      <c r="T28" s="46">
        <v>3.4994999999999998</v>
      </c>
    </row>
    <row r="29" spans="1:20" ht="16" thickBot="1" x14ac:dyDescent="0.25">
      <c r="A29" s="44">
        <v>789050</v>
      </c>
      <c r="B29" s="43">
        <v>547</v>
      </c>
      <c r="C29" s="44">
        <v>46</v>
      </c>
      <c r="D29" s="44">
        <v>5468</v>
      </c>
      <c r="E29" s="46">
        <v>21.8904</v>
      </c>
      <c r="F29" s="44">
        <v>4</v>
      </c>
      <c r="G29" s="44">
        <v>15640</v>
      </c>
      <c r="H29" s="44">
        <v>780</v>
      </c>
      <c r="I29" s="44">
        <v>34567</v>
      </c>
      <c r="J29" s="47">
        <v>30</v>
      </c>
      <c r="K29" s="46">
        <v>5.4523000000000001</v>
      </c>
      <c r="L29" s="44">
        <v>786980</v>
      </c>
      <c r="Q29" s="43">
        <v>789050</v>
      </c>
      <c r="R29" s="44">
        <v>15640</v>
      </c>
      <c r="S29" s="44">
        <v>780</v>
      </c>
      <c r="T29" s="46">
        <v>5.4523000000000001</v>
      </c>
    </row>
    <row r="30" spans="1:20" ht="16" thickBot="1" x14ac:dyDescent="0.25">
      <c r="A30" s="44">
        <v>145890</v>
      </c>
      <c r="B30" s="43">
        <v>647</v>
      </c>
      <c r="C30" s="44">
        <v>62</v>
      </c>
      <c r="D30" s="44">
        <v>6468</v>
      </c>
      <c r="E30" s="46">
        <v>20.493500000000001</v>
      </c>
      <c r="F30" s="44">
        <v>4</v>
      </c>
      <c r="G30" s="44">
        <v>27650</v>
      </c>
      <c r="H30" s="44">
        <v>2430</v>
      </c>
      <c r="I30" s="44">
        <v>75000</v>
      </c>
      <c r="J30" s="47">
        <v>75</v>
      </c>
      <c r="K30" s="46">
        <v>2.3243999999999998</v>
      </c>
      <c r="L30" s="44">
        <v>130045</v>
      </c>
      <c r="Q30" s="43">
        <v>145890</v>
      </c>
      <c r="R30" s="44">
        <v>27650</v>
      </c>
      <c r="S30" s="44">
        <v>2430</v>
      </c>
      <c r="T30" s="46">
        <v>2.3243999999999998</v>
      </c>
    </row>
    <row r="31" spans="1:20" ht="16" thickBot="1" x14ac:dyDescent="0.25">
      <c r="A31" s="44">
        <v>567870</v>
      </c>
      <c r="B31" s="43">
        <v>499</v>
      </c>
      <c r="C31" s="44">
        <v>43</v>
      </c>
      <c r="D31" s="44">
        <v>4988</v>
      </c>
      <c r="E31" s="46">
        <v>15.9878</v>
      </c>
      <c r="F31" s="44">
        <v>3</v>
      </c>
      <c r="G31" s="44">
        <v>20340</v>
      </c>
      <c r="H31" s="44">
        <v>2044</v>
      </c>
      <c r="I31" s="44">
        <v>56832</v>
      </c>
      <c r="J31" s="47">
        <v>59</v>
      </c>
      <c r="K31" s="46">
        <v>2.4243999999999999</v>
      </c>
      <c r="L31" s="44">
        <v>580789</v>
      </c>
      <c r="Q31" s="43">
        <v>567870</v>
      </c>
      <c r="R31" s="44">
        <v>20340</v>
      </c>
      <c r="S31" s="44">
        <v>2044</v>
      </c>
      <c r="T31" s="46">
        <v>2.4243999999999999</v>
      </c>
    </row>
    <row r="32" spans="1:20" ht="16" thickBot="1" x14ac:dyDescent="0.25">
      <c r="A32" s="44">
        <v>947860</v>
      </c>
      <c r="B32" s="43">
        <v>476</v>
      </c>
      <c r="C32" s="44">
        <v>37</v>
      </c>
      <c r="D32" s="44">
        <v>4759</v>
      </c>
      <c r="E32" s="46">
        <v>15.677300000000001</v>
      </c>
      <c r="F32" s="44">
        <v>3</v>
      </c>
      <c r="G32" s="44">
        <v>13040</v>
      </c>
      <c r="H32" s="44">
        <v>1158</v>
      </c>
      <c r="I32" s="44">
        <v>45546</v>
      </c>
      <c r="J32" s="47">
        <v>40</v>
      </c>
      <c r="K32" s="46">
        <v>5.4321000000000002</v>
      </c>
      <c r="L32" s="44">
        <v>1034568</v>
      </c>
      <c r="Q32" s="43">
        <v>947860</v>
      </c>
      <c r="R32" s="44">
        <v>13040</v>
      </c>
      <c r="S32" s="44">
        <v>1158</v>
      </c>
      <c r="T32" s="46">
        <v>5.4321000000000002</v>
      </c>
    </row>
    <row r="33" spans="1:20" ht="16" thickBot="1" x14ac:dyDescent="0.25">
      <c r="A33" s="44">
        <v>435670</v>
      </c>
      <c r="B33" s="43">
        <v>523</v>
      </c>
      <c r="C33" s="44">
        <v>46</v>
      </c>
      <c r="D33" s="44">
        <v>5221</v>
      </c>
      <c r="E33" s="46">
        <v>16.8093</v>
      </c>
      <c r="F33" s="44">
        <v>3</v>
      </c>
      <c r="G33" s="44">
        <v>18780</v>
      </c>
      <c r="H33" s="44">
        <v>1560</v>
      </c>
      <c r="I33" s="44">
        <v>23456</v>
      </c>
      <c r="J33" s="47">
        <v>20</v>
      </c>
      <c r="K33" s="46">
        <v>2.4451000000000001</v>
      </c>
      <c r="L33" s="44">
        <v>487905</v>
      </c>
      <c r="Q33" s="43">
        <v>435670</v>
      </c>
      <c r="R33" s="44">
        <v>18780</v>
      </c>
      <c r="S33" s="44">
        <v>1560</v>
      </c>
      <c r="T33" s="46">
        <v>2.4451000000000001</v>
      </c>
    </row>
    <row r="34" spans="1:20" ht="16" thickBot="1" x14ac:dyDescent="0.25">
      <c r="A34" s="44">
        <v>680000</v>
      </c>
      <c r="B34" s="43">
        <v>644</v>
      </c>
      <c r="C34" s="44">
        <v>61</v>
      </c>
      <c r="D34" s="44">
        <v>6438</v>
      </c>
      <c r="E34" s="46">
        <v>21.9894</v>
      </c>
      <c r="F34" s="44">
        <v>4</v>
      </c>
      <c r="G34" s="44">
        <v>32100</v>
      </c>
      <c r="H34" s="44">
        <v>2904</v>
      </c>
      <c r="I34" s="44">
        <v>85000</v>
      </c>
      <c r="J34" s="47">
        <v>85</v>
      </c>
      <c r="K34" s="46">
        <v>5.01</v>
      </c>
      <c r="L34" s="44">
        <v>389678</v>
      </c>
      <c r="Q34" s="43">
        <v>680000</v>
      </c>
      <c r="R34" s="44">
        <v>32100</v>
      </c>
      <c r="S34" s="44">
        <v>2904</v>
      </c>
      <c r="T34" s="46">
        <v>5.01</v>
      </c>
    </row>
    <row r="35" spans="1:20" ht="16" thickBot="1" x14ac:dyDescent="0.25">
      <c r="A35" s="44">
        <v>980000</v>
      </c>
      <c r="B35" s="43">
        <v>591</v>
      </c>
      <c r="C35" s="44">
        <v>51</v>
      </c>
      <c r="D35" s="44">
        <v>5908</v>
      </c>
      <c r="E35" s="46">
        <v>18.967300000000002</v>
      </c>
      <c r="F35" s="44">
        <v>4</v>
      </c>
      <c r="G35" s="44">
        <v>29890</v>
      </c>
      <c r="H35" s="44">
        <v>2567</v>
      </c>
      <c r="I35" s="44">
        <v>108889</v>
      </c>
      <c r="J35" s="47">
        <v>95</v>
      </c>
      <c r="K35" s="44">
        <v>6.01</v>
      </c>
      <c r="L35" s="44">
        <v>803670</v>
      </c>
      <c r="Q35" s="43">
        <v>980000</v>
      </c>
      <c r="R35" s="44">
        <v>29890</v>
      </c>
      <c r="S35" s="44">
        <v>2567</v>
      </c>
      <c r="T35" s="44">
        <v>6.01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Задача №1</vt:lpstr>
      <vt:lpstr>Результат задачи №1</vt:lpstr>
      <vt:lpstr>Док-т задачи №1</vt:lpstr>
      <vt:lpstr>Задача №2</vt:lpstr>
      <vt:lpstr>Док-т задачи №2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Баринов</dc:creator>
  <cp:lastModifiedBy>Алексей Максимов</cp:lastModifiedBy>
  <dcterms:created xsi:type="dcterms:W3CDTF">2024-05-27T16:15:02Z</dcterms:created>
  <dcterms:modified xsi:type="dcterms:W3CDTF">2025-11-24T19:02:16Z</dcterms:modified>
</cp:coreProperties>
</file>