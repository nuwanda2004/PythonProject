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2" codeName="{6A26FB3C-EA34-E94E-B44F-155022A03E17}"/>
  <workbookPr codeName="ЭтаКнига1"/>
  <mc:AlternateContent xmlns:mc="http://schemas.openxmlformats.org/markup-compatibility/2006">
    <mc:Choice Requires="x15">
      <x15ac:absPath xmlns:x15ac="http://schemas.microsoft.com/office/spreadsheetml/2010/11/ac" url="/Users/aleksejmaksimov/Documents/Новая папка/Грига КР/"/>
    </mc:Choice>
  </mc:AlternateContent>
  <xr:revisionPtr revIDLastSave="0" documentId="13_ncr:1_{1515E9DE-6B7B-F948-9A6F-8D23EE5A1DDA}" xr6:coauthVersionLast="47" xr6:coauthVersionMax="47" xr10:uidLastSave="{00000000-0000-0000-0000-000000000000}"/>
  <bookViews>
    <workbookView xWindow="0" yWindow="0" windowWidth="28800" windowHeight="18000" activeTab="3" xr2:uid="{00000000-000D-0000-FFFF-FFFF00000000}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</sheets>
  <definedNames>
    <definedName name="solver_adj" localSheetId="4" hidden="1">Лист5!$C$19:$G$28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Лист5!$C$19:$G$28</definedName>
    <definedName name="solver_lhs2" localSheetId="4" hidden="1">Лист5!$C$29:$G$29</definedName>
    <definedName name="solver_lhs3" localSheetId="4" hidden="1">Лист5!$H$19:$H$28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3</definedName>
    <definedName name="solver_nwt" localSheetId="4" hidden="1">1</definedName>
    <definedName name="solver_opt" localSheetId="4" hidden="1">Лист5!$E$46</definedName>
    <definedName name="solver_pre" localSheetId="4" hidden="1">0.000001</definedName>
    <definedName name="solver_rbv" localSheetId="4" hidden="1">1</definedName>
    <definedName name="solver_rel1" localSheetId="4" hidden="1">4</definedName>
    <definedName name="solver_rel2" localSheetId="4" hidden="1">2</definedName>
    <definedName name="solver_rel3" localSheetId="4" hidden="1">1</definedName>
    <definedName name="solver_rhs1" localSheetId="4" hidden="1">"целое"</definedName>
    <definedName name="solver_rhs2" localSheetId="4" hidden="1">Лист5!$C$31:$G$31</definedName>
    <definedName name="solver_rhs3" localSheetId="4" hidden="1">Лист5!$J$19:$J$28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0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4" i="5" l="1"/>
  <c r="F35" i="5"/>
  <c r="F36" i="5"/>
  <c r="F37" i="5"/>
  <c r="F38" i="5"/>
  <c r="F39" i="5"/>
  <c r="F40" i="5"/>
  <c r="F41" i="5"/>
  <c r="F42" i="5"/>
  <c r="F43" i="5"/>
  <c r="F34" i="5"/>
  <c r="E35" i="5"/>
  <c r="E36" i="5"/>
  <c r="E37" i="5"/>
  <c r="E38" i="5"/>
  <c r="E39" i="5"/>
  <c r="E40" i="5"/>
  <c r="E41" i="5"/>
  <c r="E42" i="5"/>
  <c r="E43" i="5"/>
  <c r="E34" i="5"/>
  <c r="D43" i="5"/>
  <c r="D42" i="5"/>
  <c r="D41" i="5"/>
  <c r="D40" i="5"/>
  <c r="D39" i="5"/>
  <c r="D38" i="5"/>
  <c r="D37" i="5"/>
  <c r="D36" i="5"/>
  <c r="D35" i="5"/>
  <c r="D34" i="5"/>
  <c r="C35" i="5"/>
  <c r="C36" i="5"/>
  <c r="C37" i="5"/>
  <c r="C38" i="5"/>
  <c r="C39" i="5"/>
  <c r="C40" i="5"/>
  <c r="C41" i="5"/>
  <c r="C42" i="5"/>
  <c r="C43" i="5"/>
  <c r="C34" i="5"/>
  <c r="G36" i="5"/>
  <c r="G37" i="5"/>
  <c r="G38" i="5"/>
  <c r="G39" i="5"/>
  <c r="G40" i="5"/>
  <c r="G41" i="5"/>
  <c r="G42" i="5"/>
  <c r="G43" i="5"/>
  <c r="E29" i="5"/>
  <c r="C29" i="5"/>
  <c r="D29" i="5"/>
  <c r="F29" i="5"/>
  <c r="G29" i="5"/>
  <c r="H21" i="5"/>
  <c r="H22" i="5"/>
  <c r="H23" i="5"/>
  <c r="H24" i="5"/>
  <c r="H25" i="5"/>
  <c r="H26" i="5"/>
  <c r="H27" i="5"/>
  <c r="H28" i="5"/>
  <c r="G35" i="5"/>
  <c r="H20" i="5"/>
  <c r="H19" i="5"/>
  <c r="G33" i="5" l="1"/>
  <c r="E46" i="5"/>
  <c r="E33" i="5"/>
  <c r="F33" i="5"/>
</calcChain>
</file>

<file path=xl/sharedStrings.xml><?xml version="1.0" encoding="utf-8"?>
<sst xmlns="http://schemas.openxmlformats.org/spreadsheetml/2006/main" count="145" uniqueCount="76">
  <si>
    <t>Нормы затрат</t>
  </si>
  <si>
    <t>Планируемый объем работ</t>
  </si>
  <si>
    <t>Доход, тыс.руб.</t>
  </si>
  <si>
    <t>Рабочие, чел-ч</t>
  </si>
  <si>
    <t>Сырье, м3</t>
  </si>
  <si>
    <t>Объем выделяемых ресурсов</t>
  </si>
  <si>
    <t>№</t>
  </si>
  <si>
    <t>Наименование</t>
  </si>
  <si>
    <t>Объем работ</t>
  </si>
  <si>
    <t>итог</t>
  </si>
  <si>
    <t>(подпись)</t>
  </si>
  <si>
    <t>(Фамилия, инициалы)</t>
  </si>
  <si>
    <t>Подготовительные работы</t>
  </si>
  <si>
    <t>Разработка котлована</t>
  </si>
  <si>
    <t>Фундаментные работы:</t>
  </si>
  <si>
    <t>Армирование и заливка бетона.</t>
  </si>
  <si>
    <t>Кирпичная кладка и работы с блоками</t>
  </si>
  <si>
    <t>Монтажные работы</t>
  </si>
  <si>
    <t>Кровельные работы</t>
  </si>
  <si>
    <t>Виды работ</t>
  </si>
  <si>
    <t>Устройство перекрытий и стен</t>
  </si>
  <si>
    <t>ГК "Остов"</t>
  </si>
  <si>
    <t>Производственная программа заказа "Строительство многофункционального комплекса"</t>
  </si>
  <si>
    <t>Фундаментные работы</t>
  </si>
  <si>
    <t>Армирование и заливка бетона</t>
  </si>
  <si>
    <t>Сотрудник отдела по закупкам и снабжению</t>
  </si>
  <si>
    <t>Кол-во бригад</t>
  </si>
  <si>
    <t>Объем СМР, тыс.руб</t>
  </si>
  <si>
    <t>Распределение бригад по объектам</t>
  </si>
  <si>
    <t>Список объектов</t>
  </si>
  <si>
    <t>Кол-во бригад, шт.</t>
  </si>
  <si>
    <t>Объем СМР, тыс.руб.</t>
  </si>
  <si>
    <t>Строительство жилого комплекса из трех высотных зданий</t>
  </si>
  <si>
    <t>Возведение бизнес-центра</t>
  </si>
  <si>
    <t>Строительство гостиницы</t>
  </si>
  <si>
    <t>Строительство многофункционального комплекса</t>
  </si>
  <si>
    <t>Поставщики</t>
  </si>
  <si>
    <t>Потребность, ед.продукции</t>
  </si>
  <si>
    <t>Тариф, руб/ед.продукции</t>
  </si>
  <si>
    <t>Неизвестные</t>
  </si>
  <si>
    <t>Ограничения</t>
  </si>
  <si>
    <t>&lt;=</t>
  </si>
  <si>
    <t>=</t>
  </si>
  <si>
    <t>Целевая функция</t>
  </si>
  <si>
    <t>Кол-во продукции, ед.продукции.</t>
  </si>
  <si>
    <t>Стоимость перевозок, руб.</t>
  </si>
  <si>
    <t>Стоимость перевозок</t>
  </si>
  <si>
    <t>Ед. изм.</t>
  </si>
  <si>
    <t>куб. м.</t>
  </si>
  <si>
    <t>кв. м.</t>
  </si>
  <si>
    <t xml:space="preserve"> </t>
  </si>
  <si>
    <t>Склады</t>
  </si>
  <si>
    <t>Склад №1</t>
  </si>
  <si>
    <t>Склад №2</t>
  </si>
  <si>
    <t>Материал</t>
  </si>
  <si>
    <t>Единица измерения</t>
  </si>
  <si>
    <t>Цемент</t>
  </si>
  <si>
    <t>Арматура</t>
  </si>
  <si>
    <t>Песок строительный</t>
  </si>
  <si>
    <t>Кирпичи</t>
  </si>
  <si>
    <t>Шпаклевка</t>
  </si>
  <si>
    <t>Штукатурка</t>
  </si>
  <si>
    <t>кг</t>
  </si>
  <si>
    <t>"ЦементПром"</t>
  </si>
  <si>
    <t>"АрматурСнаб"</t>
  </si>
  <si>
    <t>"КварцСервис"</t>
  </si>
  <si>
    <t>"СмесьПром"</t>
  </si>
  <si>
    <t>"МастерМикс"</t>
  </si>
  <si>
    <t>"СтройЦемент"</t>
  </si>
  <si>
    <t>"МеталЛайн"</t>
  </si>
  <si>
    <t>"Золотой Песок"</t>
  </si>
  <si>
    <t>"Штукатурка-Лидер"</t>
  </si>
  <si>
    <t>"ЭкоСмеси"</t>
  </si>
  <si>
    <t>Склад №3</t>
  </si>
  <si>
    <t>Запасы поставщиков</t>
  </si>
  <si>
    <t>Максимов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</si>
</sst>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rgb="FF2E2D39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4"/>
      <color theme="1"/>
      <name val="Times New Roman"/>
      <family val="1"/>
    </font>
    <font>
      <sz val="12"/>
      <color theme="1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vertical="top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0" borderId="2" xfId="0" applyBorder="1"/>
    <xf numFmtId="0" fontId="0" fillId="0" borderId="2" xfId="0" applyBorder="1" applyAlignment="1">
      <alignment horizontal="left"/>
    </xf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7" fillId="0" borderId="0" xfId="0" applyFont="1" applyAlignment="1">
      <alignment horizontal="left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1" fontId="4" fillId="0" borderId="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1" fontId="1" fillId="0" borderId="5" xfId="0" applyNumberFormat="1" applyFont="1" applyBorder="1" applyAlignment="1">
      <alignment horizontal="center" vertical="center" wrapText="1"/>
    </xf>
    <xf numFmtId="1" fontId="1" fillId="0" borderId="7" xfId="0" applyNumberFormat="1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292100</xdr:colOff>
          <xdr:row>6</xdr:row>
          <xdr:rowOff>88900</xdr:rowOff>
        </xdr:from>
        <xdr:to>
          <xdr:col>10</xdr:col>
          <xdr:colOff>254000</xdr:colOff>
          <xdr:row>7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292100</xdr:colOff>
          <xdr:row>6</xdr:row>
          <xdr:rowOff>101600</xdr:rowOff>
        </xdr:from>
        <xdr:to>
          <xdr:col>9</xdr:col>
          <xdr:colOff>254000</xdr:colOff>
          <xdr:row>7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3:F13"/>
  <sheetViews>
    <sheetView workbookViewId="0">
      <selection activeCell="D13" sqref="D13"/>
    </sheetView>
  </sheetViews>
  <sheetFormatPr baseColWidth="10" defaultColWidth="8.83203125" defaultRowHeight="15" x14ac:dyDescent="0.2"/>
  <cols>
    <col min="1" max="1" width="39.5" customWidth="1"/>
    <col min="2" max="2" width="8.83203125" customWidth="1"/>
  </cols>
  <sheetData>
    <row r="3" spans="1:6" ht="16" x14ac:dyDescent="0.2">
      <c r="A3" s="24" t="s">
        <v>19</v>
      </c>
      <c r="B3" s="24" t="s">
        <v>47</v>
      </c>
      <c r="C3" s="24" t="s">
        <v>0</v>
      </c>
      <c r="D3" s="24"/>
      <c r="E3" s="24" t="s">
        <v>1</v>
      </c>
      <c r="F3" s="24" t="s">
        <v>2</v>
      </c>
    </row>
    <row r="4" spans="1:6" ht="34" x14ac:dyDescent="0.2">
      <c r="A4" s="24"/>
      <c r="B4" s="24"/>
      <c r="C4" s="1" t="s">
        <v>3</v>
      </c>
      <c r="D4" s="1" t="s">
        <v>4</v>
      </c>
      <c r="E4" s="24"/>
      <c r="F4" s="24"/>
    </row>
    <row r="5" spans="1:6" ht="21" customHeight="1" x14ac:dyDescent="0.2">
      <c r="A5" s="20" t="s">
        <v>12</v>
      </c>
      <c r="B5" s="1" t="s">
        <v>48</v>
      </c>
      <c r="C5" s="1">
        <v>4</v>
      </c>
      <c r="D5" s="1">
        <v>3</v>
      </c>
      <c r="E5" s="1">
        <v>600</v>
      </c>
      <c r="F5" s="1">
        <v>39</v>
      </c>
    </row>
    <row r="6" spans="1:6" ht="21" customHeight="1" x14ac:dyDescent="0.2">
      <c r="A6" s="20" t="s">
        <v>13</v>
      </c>
      <c r="B6" s="1" t="s">
        <v>48</v>
      </c>
      <c r="C6" s="1">
        <v>7</v>
      </c>
      <c r="D6" s="1">
        <v>1</v>
      </c>
      <c r="E6" s="1">
        <v>700</v>
      </c>
      <c r="F6" s="1">
        <v>36</v>
      </c>
    </row>
    <row r="7" spans="1:6" ht="21" customHeight="1" x14ac:dyDescent="0.2">
      <c r="A7" s="20" t="s">
        <v>14</v>
      </c>
      <c r="B7" s="1" t="s">
        <v>48</v>
      </c>
      <c r="C7" s="1">
        <v>7</v>
      </c>
      <c r="D7" s="1">
        <v>5</v>
      </c>
      <c r="E7" s="1">
        <v>450</v>
      </c>
      <c r="F7" s="1">
        <v>36</v>
      </c>
    </row>
    <row r="8" spans="1:6" ht="21" customHeight="1" x14ac:dyDescent="0.2">
      <c r="A8" s="20" t="s">
        <v>20</v>
      </c>
      <c r="B8" s="1" t="s">
        <v>49</v>
      </c>
      <c r="C8" s="1">
        <v>5</v>
      </c>
      <c r="D8" s="1">
        <v>8</v>
      </c>
      <c r="E8" s="1">
        <v>800</v>
      </c>
      <c r="F8" s="1">
        <v>37</v>
      </c>
    </row>
    <row r="9" spans="1:6" ht="21" customHeight="1" x14ac:dyDescent="0.2">
      <c r="A9" s="20" t="s">
        <v>15</v>
      </c>
      <c r="B9" s="1" t="s">
        <v>48</v>
      </c>
      <c r="C9" s="1">
        <v>4</v>
      </c>
      <c r="D9" s="1">
        <v>3</v>
      </c>
      <c r="E9" s="1">
        <v>520</v>
      </c>
      <c r="F9" s="1">
        <v>38</v>
      </c>
    </row>
    <row r="10" spans="1:6" ht="21" customHeight="1" x14ac:dyDescent="0.2">
      <c r="A10" s="20" t="s">
        <v>16</v>
      </c>
      <c r="B10" s="1" t="s">
        <v>49</v>
      </c>
      <c r="C10" s="1">
        <v>3</v>
      </c>
      <c r="D10" s="1">
        <v>5</v>
      </c>
      <c r="E10" s="1">
        <v>800</v>
      </c>
      <c r="F10" s="1">
        <v>32</v>
      </c>
    </row>
    <row r="11" spans="1:6" ht="21" customHeight="1" x14ac:dyDescent="0.2">
      <c r="A11" s="20" t="s">
        <v>17</v>
      </c>
      <c r="B11" s="1" t="s">
        <v>49</v>
      </c>
      <c r="C11" s="1">
        <v>3</v>
      </c>
      <c r="D11" s="1">
        <v>3</v>
      </c>
      <c r="E11" s="1">
        <v>600</v>
      </c>
      <c r="F11" s="1">
        <v>32</v>
      </c>
    </row>
    <row r="12" spans="1:6" ht="21" customHeight="1" x14ac:dyDescent="0.2">
      <c r="A12" s="20" t="s">
        <v>18</v>
      </c>
      <c r="B12" s="1" t="s">
        <v>49</v>
      </c>
      <c r="C12" s="1">
        <v>4</v>
      </c>
      <c r="D12" s="1">
        <v>4</v>
      </c>
      <c r="E12" s="1">
        <v>600</v>
      </c>
      <c r="F12" s="1">
        <v>33</v>
      </c>
    </row>
    <row r="13" spans="1:6" ht="52.75" customHeight="1" x14ac:dyDescent="0.2">
      <c r="A13" s="22" t="s">
        <v>5</v>
      </c>
      <c r="B13" s="23"/>
      <c r="C13" s="1">
        <v>19000</v>
      </c>
      <c r="D13" s="1">
        <v>19000</v>
      </c>
    </row>
  </sheetData>
  <mergeCells count="6">
    <mergeCell ref="A13:B13"/>
    <mergeCell ref="E3:E4"/>
    <mergeCell ref="F3:F4"/>
    <mergeCell ref="B3:B4"/>
    <mergeCell ref="A3:A4"/>
    <mergeCell ref="C3:D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>
                  <from>
                    <xdr:col>9</xdr:col>
                    <xdr:colOff>292100</xdr:colOff>
                    <xdr:row>6</xdr:row>
                    <xdr:rowOff>88900</xdr:rowOff>
                  </from>
                  <to>
                    <xdr:col>10</xdr:col>
                    <xdr:colOff>254000</xdr:colOff>
                    <xdr:row>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B86D3-A80E-4DAF-83AE-A222941E987B}">
  <sheetPr codeName="Лист21"/>
  <dimension ref="B1:L17"/>
  <sheetViews>
    <sheetView showGridLines="0" workbookViewId="0">
      <selection activeCell="F27" sqref="F27"/>
    </sheetView>
  </sheetViews>
  <sheetFormatPr baseColWidth="10" defaultColWidth="8.83203125" defaultRowHeight="15" x14ac:dyDescent="0.2"/>
  <cols>
    <col min="1" max="1" width="4.5" customWidth="1"/>
    <col min="2" max="2" width="15" customWidth="1"/>
    <col min="3" max="3" width="49.83203125" customWidth="1"/>
    <col min="4" max="4" width="3.5" customWidth="1"/>
    <col min="5" max="5" width="4.83203125" customWidth="1"/>
    <col min="6" max="6" width="9.1640625" customWidth="1"/>
    <col min="7" max="7" width="6.5" customWidth="1"/>
    <col min="8" max="8" width="13.5" customWidth="1"/>
    <col min="9" max="9" width="4.6640625" customWidth="1"/>
  </cols>
  <sheetData>
    <row r="1" spans="2:9" ht="26.5" customHeight="1" x14ac:dyDescent="0.2">
      <c r="B1" s="28" t="s">
        <v>21</v>
      </c>
      <c r="C1" s="28"/>
      <c r="D1" s="28"/>
      <c r="E1" s="28"/>
      <c r="F1" s="28"/>
      <c r="G1" s="28"/>
      <c r="H1" s="28"/>
      <c r="I1" s="2"/>
    </row>
    <row r="2" spans="2:9" ht="32.5" customHeight="1" thickBot="1" x14ac:dyDescent="0.25">
      <c r="B2" s="29" t="s">
        <v>22</v>
      </c>
      <c r="C2" s="29"/>
      <c r="D2" s="29"/>
      <c r="E2" s="29"/>
      <c r="F2" s="29"/>
      <c r="G2" s="29"/>
      <c r="H2" s="29"/>
      <c r="I2" s="3"/>
    </row>
    <row r="3" spans="2:9" ht="18" thickBot="1" x14ac:dyDescent="0.25">
      <c r="B3" s="4" t="s">
        <v>6</v>
      </c>
      <c r="C3" s="25" t="s">
        <v>7</v>
      </c>
      <c r="D3" s="26"/>
      <c r="E3" s="27"/>
      <c r="F3" s="25" t="s">
        <v>8</v>
      </c>
      <c r="G3" s="27"/>
      <c r="H3" s="25" t="s">
        <v>2</v>
      </c>
      <c r="I3" s="27"/>
    </row>
    <row r="4" spans="2:9" ht="17" thickBot="1" x14ac:dyDescent="0.25">
      <c r="B4" s="5">
        <v>1</v>
      </c>
      <c r="C4" s="25">
        <v>2</v>
      </c>
      <c r="D4" s="26"/>
      <c r="E4" s="27"/>
      <c r="F4" s="25">
        <v>3</v>
      </c>
      <c r="G4" s="27"/>
      <c r="H4" s="25">
        <v>4</v>
      </c>
      <c r="I4" s="27"/>
    </row>
    <row r="5" spans="2:9" ht="19" thickBot="1" x14ac:dyDescent="0.25">
      <c r="B5" s="5">
        <v>1</v>
      </c>
      <c r="C5" s="30" t="s">
        <v>12</v>
      </c>
      <c r="D5" s="31"/>
      <c r="E5" s="32"/>
      <c r="F5" s="33">
        <v>600</v>
      </c>
      <c r="G5" s="34"/>
      <c r="H5" s="25">
        <v>23400</v>
      </c>
      <c r="I5" s="27"/>
    </row>
    <row r="6" spans="2:9" ht="19" thickBot="1" x14ac:dyDescent="0.25">
      <c r="B6" s="5">
        <v>2</v>
      </c>
      <c r="C6" s="30" t="s">
        <v>13</v>
      </c>
      <c r="D6" s="31"/>
      <c r="E6" s="32"/>
      <c r="F6" s="35">
        <v>440</v>
      </c>
      <c r="G6" s="36"/>
      <c r="H6" s="37">
        <v>15840</v>
      </c>
      <c r="I6" s="38"/>
    </row>
    <row r="7" spans="2:9" ht="19" thickBot="1" x14ac:dyDescent="0.25">
      <c r="B7" s="5">
        <v>3</v>
      </c>
      <c r="C7" s="30" t="s">
        <v>23</v>
      </c>
      <c r="D7" s="31"/>
      <c r="E7" s="32"/>
      <c r="F7" s="33">
        <v>120</v>
      </c>
      <c r="G7" s="34"/>
      <c r="H7" s="25">
        <v>4320</v>
      </c>
      <c r="I7" s="27"/>
    </row>
    <row r="8" spans="2:9" ht="19" thickBot="1" x14ac:dyDescent="0.25">
      <c r="B8" s="5">
        <v>4</v>
      </c>
      <c r="C8" s="30" t="s">
        <v>20</v>
      </c>
      <c r="D8" s="31"/>
      <c r="E8" s="32"/>
      <c r="F8" s="33">
        <v>800</v>
      </c>
      <c r="G8" s="34"/>
      <c r="H8" s="25">
        <v>29600</v>
      </c>
      <c r="I8" s="27"/>
    </row>
    <row r="9" spans="2:9" ht="19" thickBot="1" x14ac:dyDescent="0.25">
      <c r="B9" s="5">
        <v>5</v>
      </c>
      <c r="C9" s="30" t="s">
        <v>24</v>
      </c>
      <c r="D9" s="31"/>
      <c r="E9" s="32"/>
      <c r="F9" s="33">
        <v>520</v>
      </c>
      <c r="G9" s="34"/>
      <c r="H9" s="25">
        <v>19760</v>
      </c>
      <c r="I9" s="27"/>
    </row>
    <row r="10" spans="2:9" ht="19" thickBot="1" x14ac:dyDescent="0.25">
      <c r="B10" s="5">
        <v>6</v>
      </c>
      <c r="C10" s="30" t="s">
        <v>16</v>
      </c>
      <c r="D10" s="31"/>
      <c r="E10" s="32"/>
      <c r="F10" s="33">
        <v>800</v>
      </c>
      <c r="G10" s="34"/>
      <c r="H10" s="25">
        <v>25600</v>
      </c>
      <c r="I10" s="27"/>
    </row>
    <row r="11" spans="2:9" ht="19" thickBot="1" x14ac:dyDescent="0.25">
      <c r="B11" s="5">
        <v>7</v>
      </c>
      <c r="C11" s="30" t="s">
        <v>17</v>
      </c>
      <c r="D11" s="31"/>
      <c r="E11" s="32"/>
      <c r="F11" s="33">
        <v>600</v>
      </c>
      <c r="G11" s="34"/>
      <c r="H11" s="25">
        <v>19200</v>
      </c>
      <c r="I11" s="27"/>
    </row>
    <row r="12" spans="2:9" ht="19" thickBot="1" x14ac:dyDescent="0.25">
      <c r="B12" s="5">
        <v>8</v>
      </c>
      <c r="C12" s="30" t="s">
        <v>18</v>
      </c>
      <c r="D12" s="31"/>
      <c r="E12" s="32"/>
      <c r="F12" s="33">
        <v>600</v>
      </c>
      <c r="G12" s="34"/>
      <c r="H12" s="25">
        <v>19800</v>
      </c>
      <c r="I12" s="27"/>
    </row>
    <row r="13" spans="2:9" ht="17" thickBot="1" x14ac:dyDescent="0.25">
      <c r="B13" s="6"/>
      <c r="C13" s="6"/>
      <c r="D13" s="6"/>
      <c r="E13" s="6"/>
      <c r="F13" s="39" t="s">
        <v>9</v>
      </c>
      <c r="G13" s="40"/>
      <c r="H13" s="25">
        <v>157520</v>
      </c>
      <c r="I13" s="27"/>
    </row>
    <row r="15" spans="2:9" ht="18" thickBot="1" x14ac:dyDescent="0.25">
      <c r="C15" s="7" t="s">
        <v>25</v>
      </c>
      <c r="D15" s="7"/>
      <c r="F15" s="8"/>
      <c r="H15" s="9" t="s">
        <v>75</v>
      </c>
    </row>
    <row r="16" spans="2:9" x14ac:dyDescent="0.2">
      <c r="F16" s="10" t="s">
        <v>10</v>
      </c>
      <c r="H16" s="10" t="s">
        <v>11</v>
      </c>
    </row>
    <row r="17" spans="12:12" x14ac:dyDescent="0.2">
      <c r="L17" t="s">
        <v>50</v>
      </c>
    </row>
  </sheetData>
  <mergeCells count="34">
    <mergeCell ref="F13:G13"/>
    <mergeCell ref="H13:I13"/>
    <mergeCell ref="C11:E11"/>
    <mergeCell ref="F11:G11"/>
    <mergeCell ref="H11:I11"/>
    <mergeCell ref="C12:E12"/>
    <mergeCell ref="F12:G12"/>
    <mergeCell ref="H12:I12"/>
    <mergeCell ref="C9:E9"/>
    <mergeCell ref="F9:G9"/>
    <mergeCell ref="H9:I9"/>
    <mergeCell ref="C10:E10"/>
    <mergeCell ref="F10:G10"/>
    <mergeCell ref="H10:I10"/>
    <mergeCell ref="C7:E7"/>
    <mergeCell ref="F7:G7"/>
    <mergeCell ref="H7:I7"/>
    <mergeCell ref="C8:E8"/>
    <mergeCell ref="F8:G8"/>
    <mergeCell ref="H8:I8"/>
    <mergeCell ref="C5:E5"/>
    <mergeCell ref="F5:G5"/>
    <mergeCell ref="H5:I5"/>
    <mergeCell ref="C6:E6"/>
    <mergeCell ref="F6:G6"/>
    <mergeCell ref="H6:I6"/>
    <mergeCell ref="C4:E4"/>
    <mergeCell ref="F4:G4"/>
    <mergeCell ref="H4:I4"/>
    <mergeCell ref="B1:H1"/>
    <mergeCell ref="B2:H2"/>
    <mergeCell ref="C3:E3"/>
    <mergeCell ref="F3:G3"/>
    <mergeCell ref="H3:I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88DDC-78DD-41F5-A33B-E76797B6B79E}">
  <sheetPr codeName="Лист31"/>
  <dimension ref="A1:F11"/>
  <sheetViews>
    <sheetView workbookViewId="0">
      <selection activeCell="I14" sqref="I14"/>
    </sheetView>
  </sheetViews>
  <sheetFormatPr baseColWidth="10" defaultColWidth="8.83203125" defaultRowHeight="15" x14ac:dyDescent="0.2"/>
  <cols>
    <col min="3" max="3" width="12.83203125" customWidth="1"/>
    <col min="4" max="4" width="11.6640625" customWidth="1"/>
    <col min="5" max="5" width="14.5" customWidth="1"/>
    <col min="6" max="6" width="16.83203125" customWidth="1"/>
  </cols>
  <sheetData>
    <row r="1" spans="1:6" ht="16" x14ac:dyDescent="0.2">
      <c r="A1" s="11"/>
      <c r="B1" s="11"/>
      <c r="C1" s="11"/>
      <c r="D1" s="11"/>
      <c r="E1" s="11"/>
      <c r="F1" s="11"/>
    </row>
    <row r="2" spans="1:6" ht="16" x14ac:dyDescent="0.2">
      <c r="A2" s="11"/>
      <c r="B2" s="11"/>
      <c r="C2" s="11"/>
      <c r="D2" s="11"/>
      <c r="E2" s="11"/>
      <c r="F2" s="11"/>
    </row>
    <row r="3" spans="1:6" ht="16" x14ac:dyDescent="0.2">
      <c r="A3" s="11"/>
      <c r="B3" s="11"/>
      <c r="C3" s="12"/>
      <c r="D3" s="12"/>
      <c r="E3" s="12"/>
      <c r="F3" s="11"/>
    </row>
    <row r="4" spans="1:6" ht="53.5" customHeight="1" x14ac:dyDescent="0.2">
      <c r="A4" s="13"/>
      <c r="B4" s="41" t="s">
        <v>26</v>
      </c>
      <c r="C4" s="41" t="s">
        <v>32</v>
      </c>
      <c r="D4" s="41" t="s">
        <v>33</v>
      </c>
      <c r="E4" s="41" t="s">
        <v>34</v>
      </c>
      <c r="F4" s="41" t="s">
        <v>35</v>
      </c>
    </row>
    <row r="5" spans="1:6" ht="53.5" customHeight="1" x14ac:dyDescent="0.2">
      <c r="A5" s="13"/>
      <c r="B5" s="41"/>
      <c r="C5" s="41"/>
      <c r="D5" s="41"/>
      <c r="E5" s="41"/>
      <c r="F5" s="41"/>
    </row>
    <row r="6" spans="1:6" ht="16" x14ac:dyDescent="0.2">
      <c r="A6" s="13"/>
      <c r="B6" s="41"/>
      <c r="C6" s="42" t="s">
        <v>27</v>
      </c>
      <c r="D6" s="42"/>
      <c r="E6" s="42"/>
      <c r="F6" s="42"/>
    </row>
    <row r="7" spans="1:6" ht="16" x14ac:dyDescent="0.2">
      <c r="A7" s="13"/>
      <c r="B7" s="1">
        <v>0</v>
      </c>
      <c r="C7" s="14">
        <v>0</v>
      </c>
      <c r="D7" s="14">
        <v>0</v>
      </c>
      <c r="E7" s="14">
        <v>0</v>
      </c>
      <c r="F7" s="14">
        <v>0</v>
      </c>
    </row>
    <row r="8" spans="1:6" ht="16" x14ac:dyDescent="0.2">
      <c r="A8" s="13"/>
      <c r="B8" s="1">
        <v>1</v>
      </c>
      <c r="C8" s="1">
        <v>100</v>
      </c>
      <c r="D8" s="1">
        <v>110</v>
      </c>
      <c r="E8" s="1">
        <v>90</v>
      </c>
      <c r="F8" s="1">
        <v>140</v>
      </c>
    </row>
    <row r="9" spans="1:6" ht="16" x14ac:dyDescent="0.2">
      <c r="A9" s="13"/>
      <c r="B9" s="1">
        <v>2</v>
      </c>
      <c r="C9" s="1">
        <v>230</v>
      </c>
      <c r="D9" s="1">
        <v>230</v>
      </c>
      <c r="E9" s="1">
        <v>190</v>
      </c>
      <c r="F9" s="1">
        <v>220</v>
      </c>
    </row>
    <row r="10" spans="1:6" ht="16" x14ac:dyDescent="0.2">
      <c r="A10" s="13"/>
      <c r="B10" s="1">
        <v>3</v>
      </c>
      <c r="C10" s="1">
        <v>350</v>
      </c>
      <c r="D10" s="1">
        <v>290</v>
      </c>
      <c r="E10" s="1">
        <v>280</v>
      </c>
      <c r="F10" s="1">
        <v>310</v>
      </c>
    </row>
    <row r="11" spans="1:6" ht="16" x14ac:dyDescent="0.2">
      <c r="A11" s="13"/>
      <c r="B11" s="1">
        <v>4</v>
      </c>
      <c r="C11" s="1">
        <v>370</v>
      </c>
      <c r="D11" s="1">
        <v>360</v>
      </c>
      <c r="E11" s="1">
        <v>350</v>
      </c>
      <c r="F11" s="1">
        <v>320</v>
      </c>
    </row>
  </sheetData>
  <mergeCells count="6">
    <mergeCell ref="B4:B6"/>
    <mergeCell ref="C4:C5"/>
    <mergeCell ref="D4:D5"/>
    <mergeCell ref="E4:E5"/>
    <mergeCell ref="F4:F5"/>
    <mergeCell ref="C6:F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Лист3_Кнопка1_Щелчок">
                <anchor moveWithCells="1">
                  <from>
                    <xdr:col>8</xdr:col>
                    <xdr:colOff>292100</xdr:colOff>
                    <xdr:row>6</xdr:row>
                    <xdr:rowOff>101600</xdr:rowOff>
                  </from>
                  <to>
                    <xdr:col>9</xdr:col>
                    <xdr:colOff>254000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24DE8-C5B1-435E-B930-591356CCE7AB}">
  <sheetPr codeName="Лист41"/>
  <dimension ref="B1:I13"/>
  <sheetViews>
    <sheetView showGridLines="0" tabSelected="1" workbookViewId="0">
      <selection activeCell="L13" sqref="L13"/>
    </sheetView>
  </sheetViews>
  <sheetFormatPr baseColWidth="10" defaultColWidth="8.83203125" defaultRowHeight="15" x14ac:dyDescent="0.2"/>
  <cols>
    <col min="3" max="3" width="34.5" customWidth="1"/>
    <col min="6" max="6" width="5.5" customWidth="1"/>
    <col min="7" max="7" width="8.6640625" customWidth="1"/>
  </cols>
  <sheetData>
    <row r="1" spans="2:9" ht="25.75" customHeight="1" x14ac:dyDescent="0.2">
      <c r="B1" s="28" t="s">
        <v>21</v>
      </c>
      <c r="C1" s="28"/>
      <c r="D1" s="28"/>
      <c r="E1" s="28"/>
      <c r="F1" s="28"/>
      <c r="G1" s="28"/>
      <c r="H1" s="28"/>
    </row>
    <row r="2" spans="2:9" ht="31.25" customHeight="1" thickBot="1" x14ac:dyDescent="0.25">
      <c r="B2" s="29" t="s">
        <v>28</v>
      </c>
      <c r="C2" s="29"/>
      <c r="D2" s="29"/>
      <c r="E2" s="29"/>
      <c r="F2" s="29"/>
      <c r="G2" s="29"/>
      <c r="H2" s="29"/>
    </row>
    <row r="3" spans="2:9" ht="17" thickBot="1" x14ac:dyDescent="0.25">
      <c r="B3" s="25" t="s">
        <v>29</v>
      </c>
      <c r="C3" s="26"/>
      <c r="D3" s="26"/>
      <c r="E3" s="26"/>
      <c r="F3" s="26"/>
      <c r="G3" s="26"/>
      <c r="H3" s="27"/>
    </row>
    <row r="4" spans="2:9" ht="52" thickBot="1" x14ac:dyDescent="0.25">
      <c r="B4" s="5" t="s">
        <v>6</v>
      </c>
      <c r="C4" s="25" t="s">
        <v>7</v>
      </c>
      <c r="D4" s="26"/>
      <c r="E4" s="27"/>
      <c r="F4" s="25" t="s">
        <v>30</v>
      </c>
      <c r="G4" s="27"/>
      <c r="H4" s="5" t="s">
        <v>31</v>
      </c>
      <c r="I4" s="15"/>
    </row>
    <row r="5" spans="2:9" ht="17" thickBot="1" x14ac:dyDescent="0.25">
      <c r="B5" s="5">
        <v>1</v>
      </c>
      <c r="C5" s="25">
        <v>2</v>
      </c>
      <c r="D5" s="26"/>
      <c r="E5" s="27"/>
      <c r="F5" s="25">
        <v>3</v>
      </c>
      <c r="G5" s="27"/>
      <c r="H5" s="5">
        <v>4</v>
      </c>
      <c r="I5" s="15"/>
    </row>
    <row r="6" spans="2:9" ht="17" thickBot="1" x14ac:dyDescent="0.25">
      <c r="B6" s="5">
        <v>1</v>
      </c>
      <c r="C6" s="44" t="s">
        <v>32</v>
      </c>
      <c r="D6" s="45"/>
      <c r="E6" s="46"/>
      <c r="F6" s="25">
        <v>3</v>
      </c>
      <c r="G6" s="27"/>
      <c r="H6" s="16">
        <v>350</v>
      </c>
    </row>
    <row r="7" spans="2:9" ht="17" thickBot="1" x14ac:dyDescent="0.25">
      <c r="B7" s="5">
        <v>2</v>
      </c>
      <c r="C7" s="44" t="s">
        <v>33</v>
      </c>
      <c r="D7" s="45"/>
      <c r="E7" s="46"/>
      <c r="F7" s="25">
        <v>0</v>
      </c>
      <c r="G7" s="27"/>
      <c r="H7" s="16">
        <v>0</v>
      </c>
    </row>
    <row r="8" spans="2:9" ht="17" thickBot="1" x14ac:dyDescent="0.25">
      <c r="B8" s="5">
        <v>3</v>
      </c>
      <c r="C8" s="44" t="s">
        <v>34</v>
      </c>
      <c r="D8" s="45"/>
      <c r="E8" s="46"/>
      <c r="F8" s="25">
        <v>0</v>
      </c>
      <c r="G8" s="27"/>
      <c r="H8" s="16">
        <v>0</v>
      </c>
    </row>
    <row r="9" spans="2:9" ht="17" thickBot="1" x14ac:dyDescent="0.25">
      <c r="B9" s="5">
        <v>4</v>
      </c>
      <c r="C9" s="44" t="s">
        <v>35</v>
      </c>
      <c r="D9" s="45"/>
      <c r="E9" s="46"/>
      <c r="F9" s="25">
        <v>1</v>
      </c>
      <c r="G9" s="27"/>
      <c r="H9" s="16">
        <v>140</v>
      </c>
    </row>
    <row r="10" spans="2:9" ht="17" thickBot="1" x14ac:dyDescent="0.25">
      <c r="B10" s="6"/>
      <c r="C10" s="6"/>
      <c r="D10" s="6"/>
      <c r="E10" s="6"/>
      <c r="F10" s="47" t="s">
        <v>9</v>
      </c>
      <c r="G10" s="48"/>
      <c r="H10" s="16">
        <v>490</v>
      </c>
    </row>
    <row r="12" spans="2:9" ht="35" thickBot="1" x14ac:dyDescent="0.25">
      <c r="C12" s="7" t="s">
        <v>25</v>
      </c>
      <c r="D12" s="7"/>
      <c r="E12" s="8"/>
      <c r="G12" s="43" t="s">
        <v>75</v>
      </c>
      <c r="H12" s="43"/>
    </row>
    <row r="13" spans="2:9" x14ac:dyDescent="0.2">
      <c r="E13" s="10" t="s">
        <v>10</v>
      </c>
      <c r="F13" s="10"/>
      <c r="G13" s="21" t="s">
        <v>11</v>
      </c>
    </row>
  </sheetData>
  <mergeCells count="17">
    <mergeCell ref="C8:E8"/>
    <mergeCell ref="C7:E7"/>
    <mergeCell ref="C6:E6"/>
    <mergeCell ref="C9:E9"/>
    <mergeCell ref="F8:G8"/>
    <mergeCell ref="F7:G7"/>
    <mergeCell ref="F6:G6"/>
    <mergeCell ref="F10:G10"/>
    <mergeCell ref="F9:G9"/>
    <mergeCell ref="G12:H12"/>
    <mergeCell ref="C5:E5"/>
    <mergeCell ref="F5:G5"/>
    <mergeCell ref="B1:H1"/>
    <mergeCell ref="B2:H2"/>
    <mergeCell ref="B3:H3"/>
    <mergeCell ref="C4:E4"/>
    <mergeCell ref="F4:G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5A862-323E-44F7-8707-BEE904DA1CB1}">
  <sheetPr codeName="Лист12"/>
  <dimension ref="B3:P46"/>
  <sheetViews>
    <sheetView zoomScale="50" workbookViewId="0">
      <selection activeCell="I10" sqref="I10"/>
    </sheetView>
  </sheetViews>
  <sheetFormatPr baseColWidth="10" defaultColWidth="8.83203125" defaultRowHeight="15" x14ac:dyDescent="0.2"/>
  <cols>
    <col min="2" max="2" width="20.83203125" customWidth="1"/>
    <col min="3" max="3" width="16.6640625" customWidth="1"/>
    <col min="4" max="4" width="11.5" customWidth="1"/>
    <col min="5" max="5" width="16.83203125" customWidth="1"/>
    <col min="6" max="7" width="19.83203125" customWidth="1"/>
    <col min="8" max="8" width="14.83203125" customWidth="1"/>
  </cols>
  <sheetData>
    <row r="3" spans="2:16" ht="15.5" customHeight="1" x14ac:dyDescent="0.2">
      <c r="B3" s="49" t="s">
        <v>36</v>
      </c>
      <c r="C3" s="52" t="s">
        <v>54</v>
      </c>
      <c r="D3" s="55" t="s">
        <v>55</v>
      </c>
      <c r="E3" s="58" t="s">
        <v>51</v>
      </c>
      <c r="F3" s="59"/>
      <c r="G3" s="60"/>
      <c r="H3" s="49" t="s">
        <v>74</v>
      </c>
    </row>
    <row r="4" spans="2:16" ht="17" x14ac:dyDescent="0.2">
      <c r="B4" s="50"/>
      <c r="C4" s="53"/>
      <c r="D4" s="56"/>
      <c r="E4" s="17" t="s">
        <v>52</v>
      </c>
      <c r="F4" s="1" t="s">
        <v>53</v>
      </c>
      <c r="G4" s="17" t="s">
        <v>73</v>
      </c>
      <c r="H4" s="50"/>
    </row>
    <row r="5" spans="2:16" ht="15.5" customHeight="1" x14ac:dyDescent="0.2">
      <c r="B5" s="51"/>
      <c r="C5" s="54"/>
      <c r="D5" s="57"/>
      <c r="E5" s="58" t="s">
        <v>38</v>
      </c>
      <c r="F5" s="59"/>
      <c r="G5" s="60"/>
      <c r="H5" s="51"/>
    </row>
    <row r="6" spans="2:16" ht="17" x14ac:dyDescent="0.2">
      <c r="B6" s="1" t="s">
        <v>63</v>
      </c>
      <c r="C6" s="1" t="s">
        <v>56</v>
      </c>
      <c r="D6" s="1" t="s">
        <v>62</v>
      </c>
      <c r="E6" s="1">
        <v>120</v>
      </c>
      <c r="F6" s="1">
        <v>170</v>
      </c>
      <c r="G6" s="1">
        <v>160</v>
      </c>
      <c r="H6" s="1">
        <v>11000</v>
      </c>
    </row>
    <row r="7" spans="2:16" ht="17" x14ac:dyDescent="0.2">
      <c r="B7" s="1" t="s">
        <v>68</v>
      </c>
      <c r="C7" s="1" t="s">
        <v>56</v>
      </c>
      <c r="D7" s="1" t="s">
        <v>62</v>
      </c>
      <c r="E7" s="1">
        <v>150</v>
      </c>
      <c r="F7" s="1">
        <v>200</v>
      </c>
      <c r="G7" s="1">
        <v>180</v>
      </c>
      <c r="H7" s="1">
        <v>9000</v>
      </c>
    </row>
    <row r="8" spans="2:16" ht="24" customHeight="1" x14ac:dyDescent="0.2">
      <c r="B8" s="1" t="s">
        <v>64</v>
      </c>
      <c r="C8" s="1" t="s">
        <v>57</v>
      </c>
      <c r="D8" s="1" t="s">
        <v>62</v>
      </c>
      <c r="E8" s="1">
        <v>100</v>
      </c>
      <c r="F8" s="1">
        <v>150</v>
      </c>
      <c r="G8" s="1">
        <v>150</v>
      </c>
      <c r="H8" s="1">
        <v>40000</v>
      </c>
      <c r="L8" s="1" t="s">
        <v>56</v>
      </c>
      <c r="N8" s="1" t="s">
        <v>63</v>
      </c>
      <c r="P8" s="1">
        <v>10340</v>
      </c>
    </row>
    <row r="9" spans="2:16" ht="24" customHeight="1" x14ac:dyDescent="0.2">
      <c r="B9" s="1" t="s">
        <v>69</v>
      </c>
      <c r="C9" s="1" t="s">
        <v>57</v>
      </c>
      <c r="D9" s="1" t="s">
        <v>62</v>
      </c>
      <c r="E9" s="1">
        <v>130</v>
      </c>
      <c r="F9" s="1">
        <v>190</v>
      </c>
      <c r="G9" s="1">
        <v>180</v>
      </c>
      <c r="H9" s="1">
        <v>37000</v>
      </c>
      <c r="L9" s="1" t="s">
        <v>57</v>
      </c>
      <c r="N9" s="1" t="s">
        <v>64</v>
      </c>
      <c r="P9" s="1">
        <v>37420</v>
      </c>
    </row>
    <row r="10" spans="2:16" ht="31.75" customHeight="1" x14ac:dyDescent="0.2">
      <c r="B10" s="1" t="s">
        <v>65</v>
      </c>
      <c r="C10" s="1" t="s">
        <v>58</v>
      </c>
      <c r="D10" s="1" t="s">
        <v>62</v>
      </c>
      <c r="E10" s="1">
        <v>200</v>
      </c>
      <c r="F10" s="1">
        <v>150</v>
      </c>
      <c r="G10" s="1">
        <v>190</v>
      </c>
      <c r="H10" s="1">
        <v>4000</v>
      </c>
      <c r="L10" s="1" t="s">
        <v>58</v>
      </c>
      <c r="N10" s="1" t="s">
        <v>65</v>
      </c>
      <c r="P10" s="1">
        <v>3380</v>
      </c>
    </row>
    <row r="11" spans="2:16" ht="31.75" customHeight="1" x14ac:dyDescent="0.2">
      <c r="B11" s="1" t="s">
        <v>70</v>
      </c>
      <c r="C11" s="1" t="s">
        <v>58</v>
      </c>
      <c r="D11" s="1" t="s">
        <v>62</v>
      </c>
      <c r="E11" s="1">
        <v>170</v>
      </c>
      <c r="F11" s="1">
        <v>190</v>
      </c>
      <c r="G11" s="1">
        <v>170</v>
      </c>
      <c r="H11" s="1">
        <v>4100</v>
      </c>
      <c r="L11" s="1" t="s">
        <v>59</v>
      </c>
      <c r="N11" s="1" t="s">
        <v>67</v>
      </c>
      <c r="P11" s="1">
        <v>4850</v>
      </c>
    </row>
    <row r="12" spans="2:16" ht="24" customHeight="1" x14ac:dyDescent="0.2">
      <c r="B12" s="1" t="s">
        <v>67</v>
      </c>
      <c r="C12" s="1" t="s">
        <v>61</v>
      </c>
      <c r="D12" s="1" t="s">
        <v>62</v>
      </c>
      <c r="E12" s="1">
        <v>150</v>
      </c>
      <c r="F12" s="1">
        <v>200</v>
      </c>
      <c r="G12" s="1">
        <v>115</v>
      </c>
      <c r="H12" s="1">
        <v>6000</v>
      </c>
      <c r="L12" s="1" t="s">
        <v>60</v>
      </c>
      <c r="N12" s="1" t="s">
        <v>66</v>
      </c>
      <c r="P12" s="1">
        <v>5450</v>
      </c>
    </row>
    <row r="13" spans="2:16" ht="29.5" customHeight="1" x14ac:dyDescent="0.2">
      <c r="B13" s="1" t="s">
        <v>71</v>
      </c>
      <c r="C13" s="1" t="s">
        <v>61</v>
      </c>
      <c r="D13" s="1" t="s">
        <v>62</v>
      </c>
      <c r="E13" s="1">
        <v>170</v>
      </c>
      <c r="F13" s="1">
        <v>210</v>
      </c>
      <c r="G13" s="1">
        <v>130</v>
      </c>
      <c r="H13" s="1">
        <v>4000</v>
      </c>
    </row>
    <row r="14" spans="2:16" ht="24" customHeight="1" x14ac:dyDescent="0.2">
      <c r="B14" s="1" t="s">
        <v>66</v>
      </c>
      <c r="C14" s="1" t="s">
        <v>60</v>
      </c>
      <c r="D14" s="1" t="s">
        <v>62</v>
      </c>
      <c r="E14" s="1">
        <v>205</v>
      </c>
      <c r="F14" s="1">
        <v>180</v>
      </c>
      <c r="G14" s="1">
        <v>140</v>
      </c>
      <c r="H14" s="1">
        <v>6500</v>
      </c>
    </row>
    <row r="15" spans="2:16" ht="24" customHeight="1" x14ac:dyDescent="0.2">
      <c r="B15" s="1" t="s">
        <v>72</v>
      </c>
      <c r="C15" s="1" t="s">
        <v>60</v>
      </c>
      <c r="D15" s="1" t="s">
        <v>62</v>
      </c>
      <c r="E15" s="1">
        <v>195</v>
      </c>
      <c r="F15" s="1">
        <v>180</v>
      </c>
      <c r="G15" s="1">
        <v>180</v>
      </c>
      <c r="H15" s="1">
        <v>3000</v>
      </c>
    </row>
    <row r="16" spans="2:16" ht="34" x14ac:dyDescent="0.2">
      <c r="B16" s="1" t="s">
        <v>37</v>
      </c>
      <c r="C16" s="1"/>
      <c r="D16" s="1"/>
      <c r="E16" s="1">
        <v>280</v>
      </c>
      <c r="F16" s="1">
        <v>210</v>
      </c>
      <c r="G16" s="17"/>
      <c r="H16" s="17"/>
    </row>
    <row r="18" spans="2:10" ht="17" x14ac:dyDescent="0.2">
      <c r="H18" s="17" t="s">
        <v>40</v>
      </c>
    </row>
    <row r="19" spans="2:10" ht="17" x14ac:dyDescent="0.2">
      <c r="B19" s="17" t="s">
        <v>39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6">
        <f>SUM(E19:F19)</f>
        <v>0</v>
      </c>
      <c r="I19" t="s">
        <v>41</v>
      </c>
      <c r="J19" s="1">
        <v>11000</v>
      </c>
    </row>
    <row r="20" spans="2:10" ht="16" x14ac:dyDescent="0.2"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6">
        <f>SUM(E20:F20)</f>
        <v>0</v>
      </c>
      <c r="I20" t="s">
        <v>41</v>
      </c>
      <c r="J20" s="1">
        <v>9000</v>
      </c>
    </row>
    <row r="21" spans="2:10" ht="16" x14ac:dyDescent="0.2">
      <c r="C21" s="1">
        <v>10340</v>
      </c>
      <c r="D21" s="1">
        <v>18710</v>
      </c>
      <c r="E21" s="1">
        <v>1690</v>
      </c>
      <c r="F21" s="1">
        <v>0</v>
      </c>
      <c r="G21" s="1">
        <v>0</v>
      </c>
      <c r="H21" s="6">
        <f t="shared" ref="H21:H28" si="0">SUM(E21:F21)</f>
        <v>1690</v>
      </c>
      <c r="I21" t="s">
        <v>41</v>
      </c>
      <c r="J21" s="1">
        <v>40000</v>
      </c>
    </row>
    <row r="22" spans="2:10" ht="16" x14ac:dyDescent="0.2"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6">
        <f t="shared" si="0"/>
        <v>0</v>
      </c>
      <c r="I22" t="s">
        <v>41</v>
      </c>
      <c r="J22" s="1">
        <v>37000</v>
      </c>
    </row>
    <row r="23" spans="2:10" ht="16" x14ac:dyDescent="0.2">
      <c r="C23" s="1">
        <v>0</v>
      </c>
      <c r="D23" s="1">
        <v>18710</v>
      </c>
      <c r="E23" s="1">
        <v>1690</v>
      </c>
      <c r="F23" s="1">
        <v>0</v>
      </c>
      <c r="G23" s="1">
        <v>0</v>
      </c>
      <c r="H23" s="6">
        <f t="shared" si="0"/>
        <v>1690</v>
      </c>
      <c r="I23" t="s">
        <v>41</v>
      </c>
      <c r="J23" s="1">
        <v>4000</v>
      </c>
    </row>
    <row r="24" spans="2:10" ht="16" x14ac:dyDescent="0.2"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6">
        <f t="shared" si="0"/>
        <v>0</v>
      </c>
      <c r="I24" t="s">
        <v>41</v>
      </c>
      <c r="J24" s="1">
        <v>4100</v>
      </c>
    </row>
    <row r="25" spans="2:10" ht="16" x14ac:dyDescent="0.2">
      <c r="C25" s="1">
        <v>0</v>
      </c>
      <c r="D25" s="1">
        <v>0</v>
      </c>
      <c r="E25" s="1">
        <v>0</v>
      </c>
      <c r="F25" s="1">
        <v>4850</v>
      </c>
      <c r="G25" s="1">
        <v>5450</v>
      </c>
      <c r="H25" s="6">
        <f t="shared" si="0"/>
        <v>4850</v>
      </c>
      <c r="I25" t="s">
        <v>41</v>
      </c>
      <c r="J25" s="1">
        <v>6000</v>
      </c>
    </row>
    <row r="26" spans="2:10" ht="16" x14ac:dyDescent="0.2"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6">
        <f t="shared" si="0"/>
        <v>0</v>
      </c>
      <c r="I26" t="s">
        <v>41</v>
      </c>
      <c r="J26" s="1">
        <v>4000</v>
      </c>
    </row>
    <row r="27" spans="2:10" ht="16" x14ac:dyDescent="0.2"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6">
        <f t="shared" si="0"/>
        <v>0</v>
      </c>
      <c r="I27" t="s">
        <v>41</v>
      </c>
      <c r="J27" s="1">
        <v>6500</v>
      </c>
    </row>
    <row r="28" spans="2:10" ht="16" x14ac:dyDescent="0.2"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6">
        <f t="shared" si="0"/>
        <v>0</v>
      </c>
      <c r="I28" t="s">
        <v>41</v>
      </c>
      <c r="J28" s="1">
        <v>3000</v>
      </c>
    </row>
    <row r="29" spans="2:10" ht="17" x14ac:dyDescent="0.2">
      <c r="B29" s="17" t="s">
        <v>40</v>
      </c>
      <c r="C29" s="6">
        <f t="shared" ref="C29:F29" si="1">SUM(C19:C28)</f>
        <v>10340</v>
      </c>
      <c r="D29" s="6">
        <f t="shared" si="1"/>
        <v>37420</v>
      </c>
      <c r="E29" s="6">
        <f>SUM(E19:E28)</f>
        <v>3380</v>
      </c>
      <c r="F29" s="6">
        <f t="shared" si="1"/>
        <v>4850</v>
      </c>
      <c r="G29" s="6">
        <f>SUM(G19:G28)</f>
        <v>5450</v>
      </c>
    </row>
    <row r="30" spans="2:10" ht="16" x14ac:dyDescent="0.2">
      <c r="B30" s="17"/>
      <c r="C30" s="6" t="s">
        <v>42</v>
      </c>
      <c r="D30" s="6" t="s">
        <v>42</v>
      </c>
      <c r="E30" s="6" t="s">
        <v>42</v>
      </c>
      <c r="F30" s="6" t="s">
        <v>42</v>
      </c>
      <c r="G30" s="6"/>
    </row>
    <row r="31" spans="2:10" ht="16" x14ac:dyDescent="0.2">
      <c r="B31" s="17"/>
      <c r="C31" s="1">
        <v>10340</v>
      </c>
      <c r="D31" s="1">
        <v>37420</v>
      </c>
      <c r="E31" s="1">
        <v>3380</v>
      </c>
      <c r="F31" s="1">
        <v>4850</v>
      </c>
      <c r="G31" s="1">
        <v>5450</v>
      </c>
    </row>
    <row r="32" spans="2:10" ht="16" x14ac:dyDescent="0.2">
      <c r="B32" s="17"/>
      <c r="C32" s="17"/>
      <c r="D32" s="17"/>
    </row>
    <row r="33" spans="2:7" ht="16" x14ac:dyDescent="0.2">
      <c r="B33" s="17"/>
      <c r="C33" s="17"/>
      <c r="D33" s="17"/>
      <c r="E33">
        <f>SUM(E34:E35)</f>
        <v>0</v>
      </c>
      <c r="F33">
        <f>SUM(F34:F35)</f>
        <v>0</v>
      </c>
      <c r="G33">
        <f>SUM(G34:G35)</f>
        <v>0</v>
      </c>
    </row>
    <row r="34" spans="2:7" ht="16" x14ac:dyDescent="0.2">
      <c r="B34" s="17"/>
      <c r="C34" s="18">
        <f>C19*E6</f>
        <v>0</v>
      </c>
      <c r="D34" s="18">
        <f>D19*F6</f>
        <v>0</v>
      </c>
      <c r="E34" s="18">
        <f>E19*F6</f>
        <v>0</v>
      </c>
      <c r="F34" s="18">
        <f>F19*G6</f>
        <v>0</v>
      </c>
      <c r="G34" s="18">
        <f>G19*G6</f>
        <v>0</v>
      </c>
    </row>
    <row r="35" spans="2:7" ht="16" x14ac:dyDescent="0.2">
      <c r="B35" s="17"/>
      <c r="C35" s="18">
        <f t="shared" ref="C35:D43" si="2">C20*E7</f>
        <v>0</v>
      </c>
      <c r="D35" s="18">
        <f t="shared" si="2"/>
        <v>0</v>
      </c>
      <c r="E35" s="18">
        <f t="shared" ref="E35:F43" si="3">E20*F7</f>
        <v>0</v>
      </c>
      <c r="F35" s="18">
        <f t="shared" si="3"/>
        <v>0</v>
      </c>
      <c r="G35" s="18">
        <f>G20*G7</f>
        <v>0</v>
      </c>
    </row>
    <row r="36" spans="2:7" ht="16" x14ac:dyDescent="0.2">
      <c r="B36" s="17"/>
      <c r="C36" s="18">
        <f t="shared" si="2"/>
        <v>1034000</v>
      </c>
      <c r="D36" s="18">
        <f t="shared" si="2"/>
        <v>2806500</v>
      </c>
      <c r="E36" s="18">
        <f t="shared" si="3"/>
        <v>253500</v>
      </c>
      <c r="F36" s="18">
        <f t="shared" si="3"/>
        <v>0</v>
      </c>
      <c r="G36" s="18">
        <f t="shared" ref="G36" si="4">G21*G8</f>
        <v>0</v>
      </c>
    </row>
    <row r="37" spans="2:7" ht="16" x14ac:dyDescent="0.2">
      <c r="B37" s="17"/>
      <c r="C37" s="18">
        <f t="shared" si="2"/>
        <v>0</v>
      </c>
      <c r="D37" s="18">
        <f t="shared" si="2"/>
        <v>0</v>
      </c>
      <c r="E37" s="18">
        <f t="shared" si="3"/>
        <v>0</v>
      </c>
      <c r="F37" s="18">
        <f t="shared" si="3"/>
        <v>0</v>
      </c>
      <c r="G37" s="18">
        <f t="shared" ref="G37" si="5">G22*G9</f>
        <v>0</v>
      </c>
    </row>
    <row r="38" spans="2:7" ht="16" x14ac:dyDescent="0.2">
      <c r="B38" s="17"/>
      <c r="C38" s="18">
        <f t="shared" si="2"/>
        <v>0</v>
      </c>
      <c r="D38" s="18">
        <f t="shared" si="2"/>
        <v>2806500</v>
      </c>
      <c r="E38" s="18">
        <f t="shared" si="3"/>
        <v>253500</v>
      </c>
      <c r="F38" s="18">
        <f t="shared" si="3"/>
        <v>0</v>
      </c>
      <c r="G38" s="18">
        <f t="shared" ref="G38" si="6">G23*G10</f>
        <v>0</v>
      </c>
    </row>
    <row r="39" spans="2:7" ht="16" x14ac:dyDescent="0.2">
      <c r="B39" s="17"/>
      <c r="C39" s="18">
        <f t="shared" si="2"/>
        <v>0</v>
      </c>
      <c r="D39" s="18">
        <f t="shared" si="2"/>
        <v>0</v>
      </c>
      <c r="E39" s="18">
        <f t="shared" si="3"/>
        <v>0</v>
      </c>
      <c r="F39" s="18">
        <f t="shared" si="3"/>
        <v>0</v>
      </c>
      <c r="G39" s="18">
        <f t="shared" ref="G39" si="7">G24*G11</f>
        <v>0</v>
      </c>
    </row>
    <row r="40" spans="2:7" ht="16" x14ac:dyDescent="0.2">
      <c r="B40" s="17"/>
      <c r="C40" s="18">
        <f t="shared" si="2"/>
        <v>0</v>
      </c>
      <c r="D40" s="18">
        <f t="shared" si="2"/>
        <v>0</v>
      </c>
      <c r="E40" s="18">
        <f t="shared" si="3"/>
        <v>0</v>
      </c>
      <c r="F40" s="18">
        <f t="shared" si="3"/>
        <v>557750</v>
      </c>
      <c r="G40" s="18">
        <f t="shared" ref="G40" si="8">G25*G12</f>
        <v>626750</v>
      </c>
    </row>
    <row r="41" spans="2:7" ht="16" x14ac:dyDescent="0.2">
      <c r="B41" s="17"/>
      <c r="C41" s="18">
        <f t="shared" si="2"/>
        <v>0</v>
      </c>
      <c r="D41" s="18">
        <f t="shared" si="2"/>
        <v>0</v>
      </c>
      <c r="E41" s="18">
        <f t="shared" si="3"/>
        <v>0</v>
      </c>
      <c r="F41" s="18">
        <f t="shared" si="3"/>
        <v>0</v>
      </c>
      <c r="G41" s="18">
        <f t="shared" ref="G41" si="9">G26*G13</f>
        <v>0</v>
      </c>
    </row>
    <row r="42" spans="2:7" ht="16" x14ac:dyDescent="0.2">
      <c r="B42" s="17"/>
      <c r="C42" s="18">
        <f t="shared" si="2"/>
        <v>0</v>
      </c>
      <c r="D42" s="18">
        <f t="shared" si="2"/>
        <v>0</v>
      </c>
      <c r="E42" s="18">
        <f t="shared" si="3"/>
        <v>0</v>
      </c>
      <c r="F42" s="18">
        <f t="shared" si="3"/>
        <v>0</v>
      </c>
      <c r="G42" s="18">
        <f t="shared" ref="G42" si="10">G27*G14</f>
        <v>0</v>
      </c>
    </row>
    <row r="43" spans="2:7" ht="16" x14ac:dyDescent="0.2">
      <c r="B43" s="17"/>
      <c r="C43" s="18">
        <f t="shared" si="2"/>
        <v>0</v>
      </c>
      <c r="D43" s="18">
        <f t="shared" si="2"/>
        <v>0</v>
      </c>
      <c r="E43" s="18">
        <f t="shared" si="3"/>
        <v>0</v>
      </c>
      <c r="F43" s="18">
        <f t="shared" si="3"/>
        <v>0</v>
      </c>
      <c r="G43" s="18">
        <f t="shared" ref="G43" si="11">G28*G15</f>
        <v>0</v>
      </c>
    </row>
    <row r="44" spans="2:7" ht="16" x14ac:dyDescent="0.2">
      <c r="B44" s="17"/>
      <c r="C44" s="6"/>
      <c r="D44" s="6"/>
      <c r="E44" s="6"/>
      <c r="F44" s="6"/>
      <c r="G44" s="6"/>
    </row>
    <row r="45" spans="2:7" ht="16" x14ac:dyDescent="0.2">
      <c r="B45" s="17"/>
      <c r="C45" s="6"/>
      <c r="D45" s="6"/>
      <c r="E45" s="6"/>
      <c r="F45" s="6"/>
      <c r="G45" s="6"/>
    </row>
    <row r="46" spans="2:7" ht="17" x14ac:dyDescent="0.2">
      <c r="B46" s="17" t="s">
        <v>43</v>
      </c>
      <c r="C46" s="17"/>
      <c r="D46" s="17"/>
      <c r="E46" s="19">
        <f>SUM(C34:G43)</f>
        <v>8338500</v>
      </c>
      <c r="F46" s="6"/>
      <c r="G46" s="6"/>
    </row>
  </sheetData>
  <mergeCells count="6">
    <mergeCell ref="H3:H5"/>
    <mergeCell ref="B3:B5"/>
    <mergeCell ref="C3:C5"/>
    <mergeCell ref="D3:D5"/>
    <mergeCell ref="E3:G3"/>
    <mergeCell ref="E5:G5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7297-2F8D-41BF-B3B7-F48807800387}">
  <sheetPr codeName="Лист51"/>
  <dimension ref="B1:I11"/>
  <sheetViews>
    <sheetView showGridLines="0" zoomScale="177" workbookViewId="0">
      <selection activeCell="H15" sqref="H15"/>
    </sheetView>
  </sheetViews>
  <sheetFormatPr baseColWidth="10" defaultColWidth="8.83203125" defaultRowHeight="15" x14ac:dyDescent="0.2"/>
  <cols>
    <col min="3" max="3" width="34.5" customWidth="1"/>
    <col min="4" max="4" width="15.6640625" customWidth="1"/>
    <col min="5" max="5" width="10.5" customWidth="1"/>
    <col min="6" max="6" width="5.5" customWidth="1"/>
    <col min="7" max="7" width="10.5" customWidth="1"/>
    <col min="8" max="8" width="12.83203125" customWidth="1"/>
  </cols>
  <sheetData>
    <row r="1" spans="2:9" ht="25.75" customHeight="1" x14ac:dyDescent="0.2">
      <c r="B1" s="28" t="s">
        <v>21</v>
      </c>
      <c r="C1" s="28"/>
      <c r="D1" s="28"/>
      <c r="E1" s="28"/>
      <c r="F1" s="28"/>
      <c r="G1" s="28"/>
      <c r="H1" s="28"/>
    </row>
    <row r="2" spans="2:9" ht="31.25" customHeight="1" thickBot="1" x14ac:dyDescent="0.25">
      <c r="B2" s="29" t="s">
        <v>46</v>
      </c>
      <c r="C2" s="29"/>
      <c r="D2" s="29"/>
      <c r="E2" s="29"/>
      <c r="F2" s="29"/>
      <c r="G2" s="29"/>
      <c r="H2" s="29"/>
    </row>
    <row r="3" spans="2:9" ht="17" thickBot="1" x14ac:dyDescent="0.25">
      <c r="B3" s="25" t="s">
        <v>29</v>
      </c>
      <c r="C3" s="26"/>
      <c r="D3" s="26"/>
      <c r="E3" s="26"/>
      <c r="F3" s="26"/>
      <c r="G3" s="26"/>
      <c r="H3" s="27"/>
    </row>
    <row r="4" spans="2:9" ht="45" customHeight="1" x14ac:dyDescent="0.2">
      <c r="B4" s="4" t="s">
        <v>6</v>
      </c>
      <c r="C4" s="61" t="s">
        <v>7</v>
      </c>
      <c r="D4" s="62"/>
      <c r="E4" s="63"/>
      <c r="F4" s="61" t="s">
        <v>44</v>
      </c>
      <c r="G4" s="63"/>
      <c r="H4" s="4" t="s">
        <v>45</v>
      </c>
      <c r="I4" s="15"/>
    </row>
    <row r="5" spans="2:9" ht="16" x14ac:dyDescent="0.2">
      <c r="B5" s="69">
        <v>1</v>
      </c>
      <c r="C5" s="70">
        <v>2</v>
      </c>
      <c r="D5" s="59"/>
      <c r="E5" s="71"/>
      <c r="F5" s="70">
        <v>3</v>
      </c>
      <c r="G5" s="71"/>
      <c r="H5" s="69">
        <v>4</v>
      </c>
      <c r="I5" s="15"/>
    </row>
    <row r="6" spans="2:9" ht="16" x14ac:dyDescent="0.2">
      <c r="B6" s="64"/>
      <c r="C6" s="65"/>
      <c r="D6" s="65"/>
      <c r="E6" s="65"/>
      <c r="F6" s="66"/>
      <c r="G6" s="66"/>
      <c r="H6" s="67"/>
    </row>
    <row r="7" spans="2:9" ht="16" x14ac:dyDescent="0.2">
      <c r="B7" s="64"/>
      <c r="C7" s="65"/>
      <c r="D7" s="65"/>
      <c r="E7" s="65"/>
      <c r="F7" s="66"/>
      <c r="G7" s="66"/>
      <c r="H7" s="67"/>
    </row>
    <row r="8" spans="2:9" ht="16" x14ac:dyDescent="0.2">
      <c r="B8" s="67"/>
      <c r="C8" s="67"/>
      <c r="D8" s="67"/>
      <c r="E8" s="67"/>
      <c r="F8" s="68"/>
      <c r="G8" s="68"/>
      <c r="H8" s="67"/>
    </row>
    <row r="10" spans="2:9" ht="35" thickBot="1" x14ac:dyDescent="0.25">
      <c r="C10" s="7" t="s">
        <v>25</v>
      </c>
      <c r="D10" s="7"/>
      <c r="E10" s="8"/>
      <c r="G10" s="9" t="s">
        <v>75</v>
      </c>
    </row>
    <row r="11" spans="2:9" x14ac:dyDescent="0.2">
      <c r="E11" s="10" t="s">
        <v>10</v>
      </c>
      <c r="F11" s="10"/>
      <c r="G11" s="10" t="s">
        <v>11</v>
      </c>
    </row>
  </sheetData>
  <mergeCells count="12">
    <mergeCell ref="C5:E5"/>
    <mergeCell ref="F5:G5"/>
    <mergeCell ref="B1:H1"/>
    <mergeCell ref="B2:H2"/>
    <mergeCell ref="B3:H3"/>
    <mergeCell ref="C4:E4"/>
    <mergeCell ref="F4:G4"/>
    <mergeCell ref="F8:G8"/>
    <mergeCell ref="C6:E6"/>
    <mergeCell ref="F6:G6"/>
    <mergeCell ref="C7:E7"/>
    <mergeCell ref="F7:G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Лист2</vt:lpstr>
      <vt:lpstr>Лист3</vt:lpstr>
      <vt:lpstr>Лист4</vt:lpstr>
      <vt:lpstr>Лист5</vt:lpstr>
      <vt:lpstr>Лист6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Федор</dc:creator>
  <cp:lastModifiedBy>Алексей Максимов</cp:lastModifiedBy>
  <dcterms:created xsi:type="dcterms:W3CDTF">2015-06-05T18:19:34Z</dcterms:created>
  <dcterms:modified xsi:type="dcterms:W3CDTF">2025-11-23T13:58:06Z</dcterms:modified>
</cp:coreProperties>
</file>